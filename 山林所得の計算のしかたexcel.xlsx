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\篤美\相続税\"/>
    </mc:Choice>
  </mc:AlternateContent>
  <xr:revisionPtr revIDLastSave="0" documentId="13_ncr:1_{46796A01-C550-4282-B7C1-E0636E500797}" xr6:coauthVersionLast="47" xr6:coauthVersionMax="47" xr10:uidLastSave="{00000000-0000-0000-0000-000000000000}"/>
  <bookViews>
    <workbookView xWindow="-120" yWindow="-120" windowWidth="25440" windowHeight="15270" xr2:uid="{249B3619-483C-4454-98E3-89FD34E2BC99}"/>
  </bookViews>
  <sheets>
    <sheet name="Sheet1" sheetId="1" r:id="rId1"/>
  </sheets>
  <definedNames>
    <definedName name="_xlnm.Print_Area" localSheetId="0">Sheet1!$A$1:$K$42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C19" i="1" s="1"/>
  <c r="C21" i="1" s="1"/>
  <c r="C25" i="1" s="1"/>
  <c r="C26" i="1" l="1"/>
</calcChain>
</file>

<file path=xl/sharedStrings.xml><?xml version="1.0" encoding="utf-8"?>
<sst xmlns="http://schemas.openxmlformats.org/spreadsheetml/2006/main" count="16" uniqueCount="15">
  <si>
    <t>課税山林所得金額</t>
  </si>
  <si>
    <t>必要経費</t>
    <rPh sb="0" eb="4">
      <t>ヒツヨウケイヒ</t>
    </rPh>
    <phoneticPr fontId="1"/>
  </si>
  <si>
    <t>山林所得の金額</t>
    <rPh sb="0" eb="2">
      <t>サンリン</t>
    </rPh>
    <rPh sb="2" eb="4">
      <t>ショトク</t>
    </rPh>
    <rPh sb="5" eb="7">
      <t>キンガク</t>
    </rPh>
    <phoneticPr fontId="1"/>
  </si>
  <si>
    <t>青色申告特別控除</t>
    <rPh sb="0" eb="2">
      <t>アオイロ</t>
    </rPh>
    <rPh sb="2" eb="4">
      <t>シンコク</t>
    </rPh>
    <rPh sb="4" eb="6">
      <t>トクベツ</t>
    </rPh>
    <rPh sb="6" eb="8">
      <t>コウジョ</t>
    </rPh>
    <phoneticPr fontId="1"/>
  </si>
  <si>
    <t>山林所得の特別控除</t>
    <rPh sb="0" eb="2">
      <t>サンリン</t>
    </rPh>
    <rPh sb="2" eb="4">
      <t>ショトク</t>
    </rPh>
    <rPh sb="5" eb="7">
      <t>トクベツ</t>
    </rPh>
    <rPh sb="7" eb="9">
      <t>コウジョ</t>
    </rPh>
    <phoneticPr fontId="1"/>
  </si>
  <si>
    <t>税額</t>
    <rPh sb="0" eb="2">
      <t>ゼイガク</t>
    </rPh>
    <phoneticPr fontId="1"/>
  </si>
  <si>
    <t>税率=</t>
    <rPh sb="0" eb="2">
      <t>ゼイリツ</t>
    </rPh>
    <phoneticPr fontId="1"/>
  </si>
  <si>
    <t>円</t>
    <rPh sb="0" eb="1">
      <t>エン</t>
    </rPh>
    <phoneticPr fontId="1"/>
  </si>
  <si>
    <t>山林所得の申告のしかた 令和7年</t>
    <rPh sb="0" eb="2">
      <t>サンリン</t>
    </rPh>
    <rPh sb="2" eb="4">
      <t>ショトク</t>
    </rPh>
    <rPh sb="5" eb="7">
      <t>シンコク</t>
    </rPh>
    <rPh sb="12" eb="14">
      <t>レイワ</t>
    </rPh>
    <rPh sb="15" eb="16">
      <t>ネン</t>
    </rPh>
    <phoneticPr fontId="1"/>
  </si>
  <si>
    <t>1,000円未満を切り捨て</t>
    <phoneticPr fontId="1"/>
  </si>
  <si>
    <t>（山林所得金額 ÷5 × 税率）× 5</t>
    <phoneticPr fontId="1"/>
  </si>
  <si>
    <t>https://www.nta.go.jp/taxes/shiraberu/shinkoku/tebiki/2025/pdf/P/P1.pdf</t>
    <phoneticPr fontId="1"/>
  </si>
  <si>
    <t>山林所得の金額は、次の算式で計算します。</t>
    <rPh sb="0" eb="2">
      <t>サンリン</t>
    </rPh>
    <rPh sb="2" eb="4">
      <t>ショトク</t>
    </rPh>
    <rPh sb="5" eb="7">
      <t>キンガク</t>
    </rPh>
    <rPh sb="9" eb="10">
      <t>ツギ</t>
    </rPh>
    <rPh sb="11" eb="13">
      <t>サンシキ</t>
    </rPh>
    <rPh sb="14" eb="16">
      <t>ケイサン</t>
    </rPh>
    <phoneticPr fontId="1"/>
  </si>
  <si>
    <t>課税される山林所得金額に対する所得税の税額表</t>
    <rPh sb="0" eb="2">
      <t>カゼイ</t>
    </rPh>
    <rPh sb="5" eb="7">
      <t>サンリン</t>
    </rPh>
    <rPh sb="7" eb="9">
      <t>ショトク</t>
    </rPh>
    <rPh sb="9" eb="11">
      <t>キンガク</t>
    </rPh>
    <rPh sb="12" eb="13">
      <t>タイ</t>
    </rPh>
    <rPh sb="15" eb="18">
      <t>ショトクゼイ</t>
    </rPh>
    <rPh sb="19" eb="21">
      <t>ゼイガク</t>
    </rPh>
    <rPh sb="21" eb="22">
      <t>ヒョウ</t>
    </rPh>
    <phoneticPr fontId="1"/>
  </si>
  <si>
    <t>下記「所得税の税額表」を参照し山林所得金額から選択</t>
    <rPh sb="0" eb="2">
      <t>カキ</t>
    </rPh>
    <rPh sb="12" eb="14">
      <t>サンショウ</t>
    </rPh>
    <rPh sb="15" eb="17">
      <t>サンリン</t>
    </rPh>
    <rPh sb="17" eb="19">
      <t>ショトク</t>
    </rPh>
    <rPh sb="19" eb="21">
      <t>キンガク</t>
    </rPh>
    <rPh sb="23" eb="25">
      <t>センタク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</si>
</sst>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5" borderId="0" xfId="0" applyFill="1">
      <alignment vertical="center"/>
    </xf>
    <xf numFmtId="176" fontId="0" fillId="5" borderId="0" xfId="0" applyNumberFormat="1" applyFill="1">
      <alignment vertical="center"/>
    </xf>
    <xf numFmtId="9" fontId="0" fillId="5" borderId="0" xfId="0" applyNumberFormat="1" applyFill="1">
      <alignment vertical="center"/>
    </xf>
    <xf numFmtId="0" fontId="0" fillId="5" borderId="1" xfId="0" applyFill="1" applyBorder="1">
      <alignment vertical="center"/>
    </xf>
    <xf numFmtId="176" fontId="0" fillId="2" borderId="2" xfId="0" applyNumberFormat="1" applyFill="1" applyBorder="1">
      <alignment vertical="center"/>
    </xf>
    <xf numFmtId="0" fontId="0" fillId="2" borderId="3" xfId="0" applyFill="1" applyBorder="1">
      <alignment vertical="center"/>
    </xf>
    <xf numFmtId="0" fontId="0" fillId="2" borderId="4" xfId="0" applyFill="1" applyBorder="1">
      <alignment vertical="center"/>
    </xf>
    <xf numFmtId="0" fontId="0" fillId="6" borderId="3" xfId="0" applyFill="1" applyBorder="1">
      <alignment vertical="center"/>
    </xf>
    <xf numFmtId="0" fontId="0" fillId="6" borderId="4" xfId="0" applyFill="1" applyBorder="1">
      <alignment vertical="center"/>
    </xf>
    <xf numFmtId="176" fontId="0" fillId="3" borderId="1" xfId="0" applyNumberFormat="1" applyFill="1" applyBorder="1">
      <alignment vertical="center"/>
    </xf>
    <xf numFmtId="176" fontId="0" fillId="3" borderId="3" xfId="0" applyNumberFormat="1" applyFill="1" applyBorder="1">
      <alignment vertical="center"/>
    </xf>
    <xf numFmtId="176" fontId="0" fillId="3" borderId="4" xfId="0" applyNumberFormat="1" applyFill="1" applyBorder="1">
      <alignment vertical="center"/>
    </xf>
    <xf numFmtId="176" fontId="0" fillId="4" borderId="2" xfId="0" applyNumberFormat="1" applyFill="1" applyBorder="1">
      <alignment vertical="center"/>
    </xf>
    <xf numFmtId="0" fontId="0" fillId="4" borderId="3" xfId="0" applyFill="1" applyBorder="1">
      <alignment vertical="center"/>
    </xf>
    <xf numFmtId="0" fontId="0" fillId="4" borderId="4" xfId="0" applyFill="1" applyBorder="1">
      <alignment vertical="center"/>
    </xf>
    <xf numFmtId="0" fontId="3" fillId="5" borderId="0" xfId="0" applyFont="1" applyFill="1">
      <alignment vertical="center"/>
    </xf>
    <xf numFmtId="0" fontId="2" fillId="0" borderId="0" xfId="1" applyAlignment="1"/>
    <xf numFmtId="176" fontId="0" fillId="3" borderId="2" xfId="0" applyNumberFormat="1" applyFill="1" applyBorder="1">
      <alignment vertical="center"/>
    </xf>
    <xf numFmtId="176" fontId="0" fillId="6" borderId="2" xfId="0" applyNumberFormat="1" applyFill="1" applyBorder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24179</xdr:colOff>
      <xdr:row>28</xdr:row>
      <xdr:rowOff>28575</xdr:rowOff>
    </xdr:from>
    <xdr:to>
      <xdr:col>9</xdr:col>
      <xdr:colOff>81477</xdr:colOff>
      <xdr:row>39</xdr:row>
      <xdr:rowOff>228994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33671F6-DE15-0607-7CF2-77F211B87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910" y="6798652"/>
          <a:ext cx="6336471" cy="2860092"/>
        </a:xfrm>
        <a:prstGeom prst="rect">
          <a:avLst/>
        </a:prstGeom>
      </xdr:spPr>
    </xdr:pic>
    <xdr:clientData/>
  </xdr:twoCellAnchor>
  <xdr:twoCellAnchor>
    <xdr:from>
      <xdr:col>12</xdr:col>
      <xdr:colOff>122806</xdr:colOff>
      <xdr:row>2</xdr:row>
      <xdr:rowOff>214751</xdr:rowOff>
    </xdr:from>
    <xdr:to>
      <xdr:col>21</xdr:col>
      <xdr:colOff>478162</xdr:colOff>
      <xdr:row>8</xdr:row>
      <xdr:rowOff>179033</xdr:rowOff>
    </xdr:to>
    <xdr:grpSp>
      <xdr:nvGrpSpPr>
        <xdr:cNvPr id="31" name="グループ化 30">
          <a:extLst>
            <a:ext uri="{FF2B5EF4-FFF2-40B4-BE49-F238E27FC236}">
              <a16:creationId xmlns:a16="http://schemas.microsoft.com/office/drawing/2014/main" id="{46E43980-388C-98BE-57B1-C142FF232878}"/>
            </a:ext>
          </a:extLst>
        </xdr:cNvPr>
        <xdr:cNvGrpSpPr/>
      </xdr:nvGrpSpPr>
      <xdr:grpSpPr>
        <a:xfrm>
          <a:off x="9156902" y="698328"/>
          <a:ext cx="6553933" cy="1415013"/>
          <a:chOff x="4804172" y="2095500"/>
          <a:chExt cx="6512719" cy="1393032"/>
        </a:xfrm>
      </xdr:grpSpPr>
      <xdr:grpSp>
        <xdr:nvGrpSpPr>
          <xdr:cNvPr id="21" name="グループ化 20">
            <a:extLst>
              <a:ext uri="{FF2B5EF4-FFF2-40B4-BE49-F238E27FC236}">
                <a16:creationId xmlns:a16="http://schemas.microsoft.com/office/drawing/2014/main" id="{F3C4545F-D696-2C61-465A-7638D7080AB7}"/>
              </a:ext>
            </a:extLst>
          </xdr:cNvPr>
          <xdr:cNvGrpSpPr/>
        </xdr:nvGrpSpPr>
        <xdr:grpSpPr>
          <a:xfrm>
            <a:off x="4804172" y="2113360"/>
            <a:ext cx="881062" cy="553641"/>
            <a:chOff x="4804172" y="2113360"/>
            <a:chExt cx="881062" cy="553641"/>
          </a:xfrm>
        </xdr:grpSpPr>
        <xdr:sp macro="" textlink="">
          <xdr:nvSpPr>
            <xdr:cNvPr id="5" name="四角形: 角を丸くする 4">
              <a:extLst>
                <a:ext uri="{FF2B5EF4-FFF2-40B4-BE49-F238E27FC236}">
                  <a16:creationId xmlns:a16="http://schemas.microsoft.com/office/drawing/2014/main" id="{9ECAD0EA-7A80-CDEB-C235-6ACDDFE4A73F}"/>
                </a:ext>
              </a:extLst>
            </xdr:cNvPr>
            <xdr:cNvSpPr/>
          </xdr:nvSpPr>
          <xdr:spPr>
            <a:xfrm>
              <a:off x="4804172" y="2119312"/>
              <a:ext cx="773906" cy="511969"/>
            </a:xfrm>
            <a:prstGeom prst="roundRect">
              <a:avLst/>
            </a:prstGeom>
            <a:solidFill>
              <a:schemeClr val="accent6">
                <a:lumMod val="75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6" name="テキスト ボックス 5">
              <a:extLst>
                <a:ext uri="{FF2B5EF4-FFF2-40B4-BE49-F238E27FC236}">
                  <a16:creationId xmlns:a16="http://schemas.microsoft.com/office/drawing/2014/main" id="{68816D07-5331-620E-291C-F24F0C77A328}"/>
                </a:ext>
              </a:extLst>
            </xdr:cNvPr>
            <xdr:cNvSpPr txBox="1"/>
          </xdr:nvSpPr>
          <xdr:spPr>
            <a:xfrm>
              <a:off x="4822032" y="2113360"/>
              <a:ext cx="863202" cy="55364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kumimoji="1" lang="ja-JP" altLang="en-US" sz="1100">
                  <a:solidFill>
                    <a:schemeClr val="bg1"/>
                  </a:solidFill>
                </a:rPr>
                <a:t>収入金額</a:t>
              </a:r>
              <a:endParaRPr kumimoji="1" lang="en-US" altLang="ja-JP" sz="1100">
                <a:solidFill>
                  <a:schemeClr val="bg1"/>
                </a:solidFill>
              </a:endParaRPr>
            </a:p>
            <a:p>
              <a:r>
                <a:rPr kumimoji="1" lang="en-US" altLang="ja-JP" sz="1100">
                  <a:solidFill>
                    <a:schemeClr val="bg1"/>
                  </a:solidFill>
                </a:rPr>
                <a:t>(※)</a:t>
              </a:r>
              <a:endParaRPr kumimoji="1" lang="ja-JP" altLang="en-US" sz="1100">
                <a:solidFill>
                  <a:schemeClr val="bg1"/>
                </a:solidFill>
              </a:endParaRPr>
            </a:p>
          </xdr:txBody>
        </xdr:sp>
      </xdr:grpSp>
      <xdr:grpSp>
        <xdr:nvGrpSpPr>
          <xdr:cNvPr id="20" name="グループ化 19">
            <a:extLst>
              <a:ext uri="{FF2B5EF4-FFF2-40B4-BE49-F238E27FC236}">
                <a16:creationId xmlns:a16="http://schemas.microsoft.com/office/drawing/2014/main" id="{58713AD2-C6C1-93DA-250C-C623F2EA1E79}"/>
              </a:ext>
            </a:extLst>
          </xdr:cNvPr>
          <xdr:cNvGrpSpPr/>
        </xdr:nvGrpSpPr>
        <xdr:grpSpPr>
          <a:xfrm>
            <a:off x="5834063" y="2095500"/>
            <a:ext cx="773906" cy="577453"/>
            <a:chOff x="5834063" y="2095500"/>
            <a:chExt cx="773906" cy="577453"/>
          </a:xfrm>
        </xdr:grpSpPr>
        <xdr:sp macro="" textlink="">
          <xdr:nvSpPr>
            <xdr:cNvPr id="7" name="四角形: 角を丸くする 6">
              <a:extLst>
                <a:ext uri="{FF2B5EF4-FFF2-40B4-BE49-F238E27FC236}">
                  <a16:creationId xmlns:a16="http://schemas.microsoft.com/office/drawing/2014/main" id="{4F54BD94-AD15-35DD-DAFB-DEF23A587DE2}"/>
                </a:ext>
              </a:extLst>
            </xdr:cNvPr>
            <xdr:cNvSpPr/>
          </xdr:nvSpPr>
          <xdr:spPr>
            <a:xfrm>
              <a:off x="5834063" y="2119312"/>
              <a:ext cx="773906" cy="511969"/>
            </a:xfrm>
            <a:prstGeom prst="roundRect">
              <a:avLst/>
            </a:prstGeom>
            <a:solidFill>
              <a:schemeClr val="accent5">
                <a:lumMod val="40000"/>
                <a:lumOff val="60000"/>
              </a:schemeClr>
            </a:solidFill>
            <a:ln>
              <a:solidFill>
                <a:schemeClr val="accent2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8" name="テキスト ボックス 7">
              <a:extLst>
                <a:ext uri="{FF2B5EF4-FFF2-40B4-BE49-F238E27FC236}">
                  <a16:creationId xmlns:a16="http://schemas.microsoft.com/office/drawing/2014/main" id="{C1E4F22B-FE98-DDC4-5F75-A3F53A60FC83}"/>
                </a:ext>
              </a:extLst>
            </xdr:cNvPr>
            <xdr:cNvSpPr txBox="1"/>
          </xdr:nvSpPr>
          <xdr:spPr>
            <a:xfrm>
              <a:off x="5965033" y="2095500"/>
              <a:ext cx="613170" cy="57745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kumimoji="1" lang="ja-JP" altLang="en-US" sz="1100">
                  <a:solidFill>
                    <a:schemeClr val="tx1"/>
                  </a:solidFill>
                </a:rPr>
                <a:t>必要</a:t>
              </a:r>
              <a:endParaRPr kumimoji="1" lang="en-US" altLang="ja-JP" sz="1100">
                <a:solidFill>
                  <a:schemeClr val="tx1"/>
                </a:solidFill>
              </a:endParaRPr>
            </a:p>
            <a:p>
              <a:r>
                <a:rPr kumimoji="1" lang="ja-JP" altLang="en-US" sz="1100">
                  <a:solidFill>
                    <a:schemeClr val="tx1"/>
                  </a:solidFill>
                </a:rPr>
                <a:t>経費</a:t>
              </a:r>
            </a:p>
          </xdr:txBody>
        </xdr:sp>
      </xdr:grpSp>
      <xdr:grpSp>
        <xdr:nvGrpSpPr>
          <xdr:cNvPr id="24" name="グループ化 23">
            <a:extLst>
              <a:ext uri="{FF2B5EF4-FFF2-40B4-BE49-F238E27FC236}">
                <a16:creationId xmlns:a16="http://schemas.microsoft.com/office/drawing/2014/main" id="{9674922A-34DD-429F-D908-23E548C7D72E}"/>
              </a:ext>
            </a:extLst>
          </xdr:cNvPr>
          <xdr:cNvGrpSpPr/>
        </xdr:nvGrpSpPr>
        <xdr:grpSpPr>
          <a:xfrm>
            <a:off x="6953248" y="2095500"/>
            <a:ext cx="3125392" cy="583406"/>
            <a:chOff x="7060405" y="2095500"/>
            <a:chExt cx="3125392" cy="583406"/>
          </a:xfrm>
        </xdr:grpSpPr>
        <xdr:sp macro="" textlink="">
          <xdr:nvSpPr>
            <xdr:cNvPr id="10" name="四角形: 角を丸くする 9">
              <a:extLst>
                <a:ext uri="{FF2B5EF4-FFF2-40B4-BE49-F238E27FC236}">
                  <a16:creationId xmlns:a16="http://schemas.microsoft.com/office/drawing/2014/main" id="{4228E99B-D15E-9AB4-A0B2-AB906FFDF804}"/>
                </a:ext>
              </a:extLst>
            </xdr:cNvPr>
            <xdr:cNvSpPr/>
          </xdr:nvSpPr>
          <xdr:spPr>
            <a:xfrm>
              <a:off x="7060405" y="2119312"/>
              <a:ext cx="1381125" cy="511969"/>
            </a:xfrm>
            <a:prstGeom prst="roundRect">
              <a:avLst/>
            </a:prstGeom>
            <a:solidFill>
              <a:schemeClr val="accent2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" name="テキスト ボックス 10">
              <a:extLst>
                <a:ext uri="{FF2B5EF4-FFF2-40B4-BE49-F238E27FC236}">
                  <a16:creationId xmlns:a16="http://schemas.microsoft.com/office/drawing/2014/main" id="{F607B55F-8B15-24A8-AD92-3165DDBBE643}"/>
                </a:ext>
              </a:extLst>
            </xdr:cNvPr>
            <xdr:cNvSpPr txBox="1"/>
          </xdr:nvSpPr>
          <xdr:spPr>
            <a:xfrm>
              <a:off x="7131844" y="2095500"/>
              <a:ext cx="1303733" cy="57745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kumimoji="1" lang="ja-JP" altLang="en-US" sz="1100">
                  <a:solidFill>
                    <a:schemeClr val="tx1"/>
                  </a:solidFill>
                </a:rPr>
                <a:t>山林所得の特別控除額</a:t>
              </a:r>
              <a:r>
                <a:rPr kumimoji="1" lang="en-US" altLang="ja-JP" sz="1100">
                  <a:solidFill>
                    <a:schemeClr val="tx1"/>
                  </a:solidFill>
                </a:rPr>
                <a:t>(50</a:t>
              </a:r>
              <a:r>
                <a:rPr kumimoji="1" lang="ja-JP" altLang="en-US" sz="1100">
                  <a:solidFill>
                    <a:schemeClr val="tx1"/>
                  </a:solidFill>
                </a:rPr>
                <a:t>万円</a:t>
              </a:r>
              <a:r>
                <a:rPr kumimoji="1" lang="en-US" altLang="ja-JP" sz="1100">
                  <a:solidFill>
                    <a:schemeClr val="tx1"/>
                  </a:solidFill>
                </a:rPr>
                <a:t>)</a:t>
              </a:r>
              <a:endParaRPr kumimoji="1" lang="ja-JP" altLang="en-US" sz="1100">
                <a:solidFill>
                  <a:schemeClr val="tx1"/>
                </a:solidFill>
              </a:endParaRPr>
            </a:p>
          </xdr:txBody>
        </xdr:sp>
        <xdr:sp macro="" textlink="">
          <xdr:nvSpPr>
            <xdr:cNvPr id="12" name="テキスト ボックス 11">
              <a:extLst>
                <a:ext uri="{FF2B5EF4-FFF2-40B4-BE49-F238E27FC236}">
                  <a16:creationId xmlns:a16="http://schemas.microsoft.com/office/drawing/2014/main" id="{DEABFCE0-A5B3-2AC7-EA83-5A65350C0067}"/>
                </a:ext>
              </a:extLst>
            </xdr:cNvPr>
            <xdr:cNvSpPr txBox="1"/>
          </xdr:nvSpPr>
          <xdr:spPr>
            <a:xfrm>
              <a:off x="8590360" y="2101453"/>
              <a:ext cx="1535906" cy="57745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kumimoji="1" lang="en-US" altLang="ja-JP" sz="1100">
                  <a:solidFill>
                    <a:schemeClr val="tx1"/>
                  </a:solidFill>
                </a:rPr>
                <a:t>(</a:t>
              </a:r>
              <a:r>
                <a:rPr kumimoji="1" lang="ja-JP" altLang="en-US" sz="1100">
                  <a:solidFill>
                    <a:schemeClr val="tx1"/>
                  </a:solidFill>
                </a:rPr>
                <a:t>収入金額－必要経費</a:t>
              </a:r>
              <a:r>
                <a:rPr kumimoji="1" lang="en-US" altLang="ja-JP" sz="1100">
                  <a:solidFill>
                    <a:schemeClr val="tx1"/>
                  </a:solidFill>
                </a:rPr>
                <a:t>)</a:t>
              </a:r>
              <a:r>
                <a:rPr kumimoji="1" lang="ja-JP" altLang="en-US" sz="1100">
                  <a:solidFill>
                    <a:schemeClr val="tx1"/>
                  </a:solidFill>
                </a:rPr>
                <a:t>の額が限度額</a:t>
              </a:r>
            </a:p>
          </xdr:txBody>
        </xdr:sp>
        <xdr:sp macro="" textlink="">
          <xdr:nvSpPr>
            <xdr:cNvPr id="13" name="左大かっこ 12">
              <a:extLst>
                <a:ext uri="{FF2B5EF4-FFF2-40B4-BE49-F238E27FC236}">
                  <a16:creationId xmlns:a16="http://schemas.microsoft.com/office/drawing/2014/main" id="{E428A36E-041E-6CD1-17D6-14C335A6CD1D}"/>
                </a:ext>
              </a:extLst>
            </xdr:cNvPr>
            <xdr:cNvSpPr/>
          </xdr:nvSpPr>
          <xdr:spPr>
            <a:xfrm>
              <a:off x="8518922" y="2166937"/>
              <a:ext cx="154781" cy="434578"/>
            </a:xfrm>
            <a:prstGeom prst="leftBracket">
              <a:avLst/>
            </a:prstGeom>
            <a:ln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4" name="左大かっこ 13">
              <a:extLst>
                <a:ext uri="{FF2B5EF4-FFF2-40B4-BE49-F238E27FC236}">
                  <a16:creationId xmlns:a16="http://schemas.microsoft.com/office/drawing/2014/main" id="{7132347C-AFFF-A86A-D6D1-CD1310DD78DF}"/>
                </a:ext>
              </a:extLst>
            </xdr:cNvPr>
            <xdr:cNvSpPr/>
          </xdr:nvSpPr>
          <xdr:spPr>
            <a:xfrm rot="10800000">
              <a:off x="10031016" y="2178843"/>
              <a:ext cx="154781" cy="434578"/>
            </a:xfrm>
            <a:prstGeom prst="leftBracket">
              <a:avLst/>
            </a:prstGeom>
            <a:ln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grpSp>
        <xdr:nvGrpSpPr>
          <xdr:cNvPr id="25" name="グループ化 24">
            <a:extLst>
              <a:ext uri="{FF2B5EF4-FFF2-40B4-BE49-F238E27FC236}">
                <a16:creationId xmlns:a16="http://schemas.microsoft.com/office/drawing/2014/main" id="{15CD72F2-7C40-A348-2FE7-39177DDDC0E0}"/>
              </a:ext>
            </a:extLst>
          </xdr:cNvPr>
          <xdr:cNvGrpSpPr/>
        </xdr:nvGrpSpPr>
        <xdr:grpSpPr>
          <a:xfrm>
            <a:off x="6953248" y="2845594"/>
            <a:ext cx="3214689" cy="577453"/>
            <a:chOff x="7060405" y="2845594"/>
            <a:chExt cx="3214689" cy="577453"/>
          </a:xfrm>
        </xdr:grpSpPr>
        <xdr:sp macro="" textlink="">
          <xdr:nvSpPr>
            <xdr:cNvPr id="15" name="四角形: 角を丸くする 14">
              <a:extLst>
                <a:ext uri="{FF2B5EF4-FFF2-40B4-BE49-F238E27FC236}">
                  <a16:creationId xmlns:a16="http://schemas.microsoft.com/office/drawing/2014/main" id="{1AD26755-D213-8330-CF87-8711CD0247F0}"/>
                </a:ext>
              </a:extLst>
            </xdr:cNvPr>
            <xdr:cNvSpPr/>
          </xdr:nvSpPr>
          <xdr:spPr>
            <a:xfrm>
              <a:off x="7060405" y="2869406"/>
              <a:ext cx="1381125" cy="511969"/>
            </a:xfrm>
            <a:prstGeom prst="roundRect">
              <a:avLst/>
            </a:prstGeom>
            <a:solidFill>
              <a:schemeClr val="accent2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6" name="テキスト ボックス 15">
              <a:extLst>
                <a:ext uri="{FF2B5EF4-FFF2-40B4-BE49-F238E27FC236}">
                  <a16:creationId xmlns:a16="http://schemas.microsoft.com/office/drawing/2014/main" id="{C27A97CE-0B94-9C2B-2AA2-6EDCAD85B1E9}"/>
                </a:ext>
              </a:extLst>
            </xdr:cNvPr>
            <xdr:cNvSpPr txBox="1"/>
          </xdr:nvSpPr>
          <xdr:spPr>
            <a:xfrm>
              <a:off x="7131844" y="2845594"/>
              <a:ext cx="1303733" cy="57745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kumimoji="1" lang="ja-JP" altLang="en-US" sz="1100">
                  <a:solidFill>
                    <a:schemeClr val="tx1"/>
                  </a:solidFill>
                </a:rPr>
                <a:t>青色申告</a:t>
              </a:r>
              <a:endParaRPr kumimoji="1" lang="en-US" altLang="ja-JP" sz="1100">
                <a:solidFill>
                  <a:schemeClr val="tx1"/>
                </a:solidFill>
              </a:endParaRPr>
            </a:p>
            <a:p>
              <a:r>
                <a:rPr kumimoji="1" lang="ja-JP" altLang="en-US" sz="1100">
                  <a:solidFill>
                    <a:schemeClr val="tx1"/>
                  </a:solidFill>
                </a:rPr>
                <a:t>特別控除額</a:t>
              </a:r>
            </a:p>
          </xdr:txBody>
        </xdr:sp>
        <xdr:sp macro="" textlink="">
          <xdr:nvSpPr>
            <xdr:cNvPr id="17" name="テキスト ボックス 16">
              <a:extLst>
                <a:ext uri="{FF2B5EF4-FFF2-40B4-BE49-F238E27FC236}">
                  <a16:creationId xmlns:a16="http://schemas.microsoft.com/office/drawing/2014/main" id="{34274FA2-2A98-EB81-71E3-53C442DA0380}"/>
                </a:ext>
              </a:extLst>
            </xdr:cNvPr>
            <xdr:cNvSpPr txBox="1"/>
          </xdr:nvSpPr>
          <xdr:spPr>
            <a:xfrm>
              <a:off x="8590360" y="2845594"/>
              <a:ext cx="1684734" cy="57745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kumimoji="1" lang="ja-JP" altLang="en-US" sz="1100">
                  <a:solidFill>
                    <a:schemeClr val="tx1"/>
                  </a:solidFill>
                </a:rPr>
                <a:t>青色申告について</a:t>
              </a:r>
              <a:endParaRPr kumimoji="1" lang="en-US" altLang="ja-JP" sz="1100">
                <a:solidFill>
                  <a:schemeClr val="tx1"/>
                </a:solidFill>
              </a:endParaRPr>
            </a:p>
            <a:p>
              <a:r>
                <a:rPr kumimoji="1" lang="en-US" altLang="ja-JP" sz="1100">
                  <a:solidFill>
                    <a:schemeClr val="tx1"/>
                  </a:solidFill>
                </a:rPr>
                <a:t>10</a:t>
              </a:r>
              <a:r>
                <a:rPr kumimoji="1" lang="ja-JP" altLang="en-US" sz="1100">
                  <a:solidFill>
                    <a:schemeClr val="tx1"/>
                  </a:solidFill>
                </a:rPr>
                <a:t>万円以内の一定額</a:t>
              </a:r>
            </a:p>
          </xdr:txBody>
        </xdr:sp>
        <xdr:sp macro="" textlink="">
          <xdr:nvSpPr>
            <xdr:cNvPr id="18" name="左大かっこ 17">
              <a:extLst>
                <a:ext uri="{FF2B5EF4-FFF2-40B4-BE49-F238E27FC236}">
                  <a16:creationId xmlns:a16="http://schemas.microsoft.com/office/drawing/2014/main" id="{DD274631-61B6-787E-6490-4C838A68160B}"/>
                </a:ext>
              </a:extLst>
            </xdr:cNvPr>
            <xdr:cNvSpPr/>
          </xdr:nvSpPr>
          <xdr:spPr>
            <a:xfrm>
              <a:off x="8518922" y="2917031"/>
              <a:ext cx="154781" cy="434578"/>
            </a:xfrm>
            <a:prstGeom prst="leftBracket">
              <a:avLst/>
            </a:prstGeom>
            <a:ln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9" name="左大かっこ 18">
              <a:extLst>
                <a:ext uri="{FF2B5EF4-FFF2-40B4-BE49-F238E27FC236}">
                  <a16:creationId xmlns:a16="http://schemas.microsoft.com/office/drawing/2014/main" id="{158A1235-08E3-9EED-18C4-08695F185BBD}"/>
                </a:ext>
              </a:extLst>
            </xdr:cNvPr>
            <xdr:cNvSpPr/>
          </xdr:nvSpPr>
          <xdr:spPr>
            <a:xfrm rot="10800000">
              <a:off x="10031016" y="2928937"/>
              <a:ext cx="154781" cy="434578"/>
            </a:xfrm>
            <a:prstGeom prst="leftBracket">
              <a:avLst/>
            </a:prstGeom>
            <a:ln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2" name="テキスト ボックス 21">
            <a:extLst>
              <a:ext uri="{FF2B5EF4-FFF2-40B4-BE49-F238E27FC236}">
                <a16:creationId xmlns:a16="http://schemas.microsoft.com/office/drawing/2014/main" id="{4BFBD5A6-2E32-51C0-D33D-D831871E6744}"/>
              </a:ext>
            </a:extLst>
          </xdr:cNvPr>
          <xdr:cNvSpPr txBox="1"/>
        </xdr:nvSpPr>
        <xdr:spPr>
          <a:xfrm>
            <a:off x="5554266" y="2226470"/>
            <a:ext cx="363140" cy="33932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1100" b="1">
                <a:solidFill>
                  <a:schemeClr val="tx1"/>
                </a:solidFill>
              </a:rPr>
              <a:t>－</a:t>
            </a:r>
          </a:p>
        </xdr:txBody>
      </xdr:sp>
      <xdr:sp macro="" textlink="">
        <xdr:nvSpPr>
          <xdr:cNvPr id="23" name="テキスト ボックス 22">
            <a:extLst>
              <a:ext uri="{FF2B5EF4-FFF2-40B4-BE49-F238E27FC236}">
                <a16:creationId xmlns:a16="http://schemas.microsoft.com/office/drawing/2014/main" id="{F002FDA6-7993-BED7-6406-41CA1D5D41E9}"/>
              </a:ext>
            </a:extLst>
          </xdr:cNvPr>
          <xdr:cNvSpPr txBox="1"/>
        </xdr:nvSpPr>
        <xdr:spPr>
          <a:xfrm>
            <a:off x="6619875" y="2226470"/>
            <a:ext cx="363140" cy="33932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1100" b="1">
                <a:solidFill>
                  <a:schemeClr val="tx1"/>
                </a:solidFill>
              </a:rPr>
              <a:t>－</a:t>
            </a:r>
          </a:p>
        </xdr:txBody>
      </xdr:sp>
      <xdr:sp macro="" textlink="">
        <xdr:nvSpPr>
          <xdr:cNvPr id="26" name="テキスト ボックス 25">
            <a:extLst>
              <a:ext uri="{FF2B5EF4-FFF2-40B4-BE49-F238E27FC236}">
                <a16:creationId xmlns:a16="http://schemas.microsoft.com/office/drawing/2014/main" id="{A2A493E9-533E-750C-FDCF-05EB04BCE3E1}"/>
              </a:ext>
            </a:extLst>
          </xdr:cNvPr>
          <xdr:cNvSpPr txBox="1"/>
        </xdr:nvSpPr>
        <xdr:spPr>
          <a:xfrm>
            <a:off x="6619875" y="2952751"/>
            <a:ext cx="363140" cy="33932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1100" b="1">
                <a:solidFill>
                  <a:schemeClr val="tx1"/>
                </a:solidFill>
              </a:rPr>
              <a:t>－</a:t>
            </a:r>
          </a:p>
        </xdr:txBody>
      </xdr:sp>
      <xdr:sp macro="" textlink="">
        <xdr:nvSpPr>
          <xdr:cNvPr id="29" name="四角形: 角を丸くする 28">
            <a:extLst>
              <a:ext uri="{FF2B5EF4-FFF2-40B4-BE49-F238E27FC236}">
                <a16:creationId xmlns:a16="http://schemas.microsoft.com/office/drawing/2014/main" id="{9E57416A-DBF1-7A23-4B20-DC8C63A04752}"/>
              </a:ext>
            </a:extLst>
          </xdr:cNvPr>
          <xdr:cNvSpPr/>
        </xdr:nvSpPr>
        <xdr:spPr>
          <a:xfrm>
            <a:off x="10417969" y="2911078"/>
            <a:ext cx="773906" cy="511969"/>
          </a:xfrm>
          <a:prstGeom prst="roundRect">
            <a:avLst/>
          </a:prstGeom>
          <a:solidFill>
            <a:schemeClr val="tx2">
              <a:lumMod val="75000"/>
              <a:lumOff val="2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30" name="テキスト ボックス 29">
            <a:extLst>
              <a:ext uri="{FF2B5EF4-FFF2-40B4-BE49-F238E27FC236}">
                <a16:creationId xmlns:a16="http://schemas.microsoft.com/office/drawing/2014/main" id="{BE74367D-4BB8-ECAF-FDAF-049187351CC1}"/>
              </a:ext>
            </a:extLst>
          </xdr:cNvPr>
          <xdr:cNvSpPr txBox="1"/>
        </xdr:nvSpPr>
        <xdr:spPr>
          <a:xfrm>
            <a:off x="10453689" y="2887268"/>
            <a:ext cx="863202" cy="60126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1100">
                <a:solidFill>
                  <a:schemeClr val="bg1"/>
                </a:solidFill>
              </a:rPr>
              <a:t>山林所得の金額</a:t>
            </a: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688730</xdr:colOff>
          <xdr:row>2</xdr:row>
          <xdr:rowOff>241787</xdr:rowOff>
        </xdr:from>
        <xdr:to>
          <xdr:col>8</xdr:col>
          <xdr:colOff>456305</xdr:colOff>
          <xdr:row>7</xdr:row>
          <xdr:rowOff>183172</xdr:rowOff>
        </xdr:to>
        <xdr:pic>
          <xdr:nvPicPr>
            <xdr:cNvPr id="32" name="図 31">
              <a:extLst>
                <a:ext uri="{FF2B5EF4-FFF2-40B4-BE49-F238E27FC236}">
                  <a16:creationId xmlns:a16="http://schemas.microsoft.com/office/drawing/2014/main" id="{F4DC134A-4648-54E4-3EE7-C99400C1674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M$3:$V$9" spid="_x0000_s1032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688730" y="725364"/>
              <a:ext cx="6046748" cy="115032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</xdr:col>
      <xdr:colOff>36634</xdr:colOff>
      <xdr:row>8</xdr:row>
      <xdr:rowOff>73270</xdr:rowOff>
    </xdr:from>
    <xdr:to>
      <xdr:col>10</xdr:col>
      <xdr:colOff>681403</xdr:colOff>
      <xdr:row>15</xdr:row>
      <xdr:rowOff>175846</xdr:rowOff>
    </xdr:to>
    <xdr:sp macro="" textlink="">
      <xdr:nvSpPr>
        <xdr:cNvPr id="33" name="テキスト ボックス 32">
          <a:extLst>
            <a:ext uri="{FF2B5EF4-FFF2-40B4-BE49-F238E27FC236}">
              <a16:creationId xmlns:a16="http://schemas.microsoft.com/office/drawing/2014/main" id="{716AE76D-72EB-AC35-EA13-9E352DB4F7B0}"/>
            </a:ext>
          </a:extLst>
        </xdr:cNvPr>
        <xdr:cNvSpPr txBox="1"/>
      </xdr:nvSpPr>
      <xdr:spPr>
        <a:xfrm>
          <a:off x="725365" y="2007578"/>
          <a:ext cx="7612673" cy="17950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令和７年分の山林所得の収入金額は、令和７年中に、伐採して譲渡したり、立木のままで譲渡した山林（</a:t>
          </a:r>
          <a:r>
            <a:rPr kumimoji="1" lang="ja-JP" altLang="en-US" sz="1100">
              <a:solidFill>
                <a:srgbClr val="FF0000"/>
              </a:solidFill>
            </a:rPr>
            <a:t>所有期間が５年を超えるもの</a:t>
          </a:r>
          <a:r>
            <a:rPr kumimoji="1" lang="ja-JP" altLang="en-US" sz="1100"/>
            <a:t>に限ります。）の譲渡代金の合計額ですが、次の点に注意してください。</a:t>
          </a:r>
        </a:p>
        <a:p>
          <a:r>
            <a:rPr kumimoji="1" lang="en-US" altLang="ja-JP" sz="1100"/>
            <a:t>1</a:t>
          </a:r>
          <a:r>
            <a:rPr kumimoji="1" lang="ja-JP" altLang="en-US" sz="1100"/>
            <a:t>　令和７年中に譲渡した山林 </a:t>
          </a:r>
          <a:r>
            <a:rPr kumimoji="1" lang="en-US" altLang="ja-JP" sz="1100"/>
            <a:t>…… </a:t>
          </a:r>
          <a:r>
            <a:rPr kumimoji="1" lang="ja-JP" altLang="en-US" sz="1100"/>
            <a:t>売買契約などに基づいて、令和７年中に買主などに引き渡した山林ですが、令和７</a:t>
          </a:r>
        </a:p>
        <a:p>
          <a:r>
            <a:rPr kumimoji="1" lang="ja-JP" altLang="en-US" sz="1100"/>
            <a:t>年中に引渡しが済んでいない山林であっても、令和７年中に売買契約の効力が生じているものは、令和７年中に譲渡し</a:t>
          </a:r>
        </a:p>
        <a:p>
          <a:r>
            <a:rPr kumimoji="1" lang="ja-JP" altLang="en-US" sz="1100"/>
            <a:t>た山林として申告することができます。</a:t>
          </a:r>
        </a:p>
        <a:p>
          <a:r>
            <a:rPr kumimoji="1" lang="en-US" altLang="ja-JP" sz="1100"/>
            <a:t>2</a:t>
          </a:r>
          <a:r>
            <a:rPr kumimoji="1" lang="ja-JP" altLang="en-US" sz="1100"/>
            <a:t>　未収入金 </a:t>
          </a:r>
          <a:r>
            <a:rPr kumimoji="1" lang="en-US" altLang="ja-JP" sz="1100"/>
            <a:t>…… </a:t>
          </a:r>
          <a:r>
            <a:rPr kumimoji="1" lang="ja-JP" altLang="en-US" sz="1100"/>
            <a:t>令和７年中に譲渡した山林の譲渡代金を令和７年中に受け取っていない場合でも、</a:t>
          </a:r>
          <a:r>
            <a:rPr kumimoji="1" lang="ja-JP" altLang="en-US" sz="1100">
              <a:solidFill>
                <a:srgbClr val="FF0000"/>
              </a:solidFill>
            </a:rPr>
            <a:t>未収入金を含め</a:t>
          </a:r>
        </a:p>
        <a:p>
          <a:r>
            <a:rPr kumimoji="1" lang="ja-JP" altLang="en-US" sz="1100">
              <a:solidFill>
                <a:srgbClr val="FF0000"/>
              </a:solidFill>
            </a:rPr>
            <a:t>た譲渡代金の全部</a:t>
          </a:r>
          <a:r>
            <a:rPr kumimoji="1" lang="ja-JP" altLang="en-US" sz="1100"/>
            <a:t>が令和７年分の収入金額になります。</a:t>
          </a:r>
        </a:p>
        <a:p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ta.go.jp/taxes/shiraberu/shinkoku/tebiki/2025/pdf/P/P1.pdf" TargetMode="Externa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13A5-EEEC-4E97-87A6-F463157770E6}">
  <sheetPr>
    <pageSetUpPr fitToPage="1"/>
  </sheetPr>
  <dimension ref="B1:E28"/>
  <sheetViews>
    <sheetView tabSelected="1" view="pageBreakPreview" zoomScale="130" zoomScaleNormal="115" zoomScaleSheetLayoutView="130" workbookViewId="0">
      <selection activeCell="E25" sqref="E25"/>
    </sheetView>
  </sheetViews>
  <sheetFormatPr defaultRowHeight="18.75" x14ac:dyDescent="0.4"/>
  <cols>
    <col min="1" max="1" width="9" style="1"/>
    <col min="2" max="2" width="17.25" style="1" bestFit="1" customWidth="1"/>
    <col min="3" max="4" width="10" style="1" bestFit="1" customWidth="1"/>
    <col min="5" max="16384" width="9" style="1"/>
  </cols>
  <sheetData>
    <row r="1" spans="2:2" x14ac:dyDescent="0.4">
      <c r="B1" s="1" t="s">
        <v>8</v>
      </c>
    </row>
    <row r="2" spans="2:2" x14ac:dyDescent="0.4">
      <c r="B2" s="17" t="s">
        <v>11</v>
      </c>
    </row>
    <row r="3" spans="2:2" x14ac:dyDescent="0.4">
      <c r="B3" s="1" t="s">
        <v>12</v>
      </c>
    </row>
    <row r="17" spans="2:5" x14ac:dyDescent="0.4">
      <c r="B17" s="4" t="s">
        <v>0</v>
      </c>
      <c r="C17" s="5">
        <v>0</v>
      </c>
      <c r="D17" s="6"/>
      <c r="E17" s="7"/>
    </row>
    <row r="18" spans="2:5" x14ac:dyDescent="0.4">
      <c r="B18" s="4" t="s">
        <v>1</v>
      </c>
      <c r="C18" s="19">
        <v>0</v>
      </c>
      <c r="D18" s="8"/>
      <c r="E18" s="9"/>
    </row>
    <row r="19" spans="2:5" x14ac:dyDescent="0.4">
      <c r="B19" s="4" t="s">
        <v>4</v>
      </c>
      <c r="C19" s="10">
        <f>IF(E19&lt;D19,E19,D19)</f>
        <v>0</v>
      </c>
      <c r="D19" s="10">
        <f>C17*0.5</f>
        <v>0</v>
      </c>
      <c r="E19" s="10">
        <v>500000</v>
      </c>
    </row>
    <row r="20" spans="2:5" x14ac:dyDescent="0.4">
      <c r="B20" s="4" t="s">
        <v>3</v>
      </c>
      <c r="C20" s="18">
        <v>0</v>
      </c>
      <c r="D20" s="11"/>
      <c r="E20" s="12"/>
    </row>
    <row r="21" spans="2:5" x14ac:dyDescent="0.4">
      <c r="B21" s="4" t="s">
        <v>2</v>
      </c>
      <c r="C21" s="13">
        <f>C17-C18-C19-C20</f>
        <v>0</v>
      </c>
      <c r="D21" s="14"/>
      <c r="E21" s="15"/>
    </row>
    <row r="23" spans="2:5" x14ac:dyDescent="0.4">
      <c r="B23" s="1" t="s">
        <v>10</v>
      </c>
    </row>
    <row r="24" spans="2:5" x14ac:dyDescent="0.4">
      <c r="B24" s="1" t="s">
        <v>6</v>
      </c>
      <c r="C24" s="3">
        <v>0.05</v>
      </c>
      <c r="E24" s="1" t="s">
        <v>14</v>
      </c>
    </row>
    <row r="25" spans="2:5" x14ac:dyDescent="0.4">
      <c r="B25" s="1" t="s">
        <v>5</v>
      </c>
      <c r="C25" s="2">
        <f>(C21 / 5 * C24)* 5</f>
        <v>0</v>
      </c>
      <c r="D25" s="1" t="s">
        <v>7</v>
      </c>
    </row>
    <row r="26" spans="2:5" x14ac:dyDescent="0.4">
      <c r="B26" s="16" t="s">
        <v>9</v>
      </c>
      <c r="C26" s="2">
        <f>ROUNDDOWN(C25,-3)</f>
        <v>0</v>
      </c>
      <c r="D26" s="1" t="s">
        <v>7</v>
      </c>
    </row>
    <row r="28" spans="2:5" x14ac:dyDescent="0.4">
      <c r="B28" s="1" t="s">
        <v>13</v>
      </c>
    </row>
  </sheetData>
  <phoneticPr fontId="1"/>
  <dataValidations count="1">
    <dataValidation type="list" allowBlank="1" showInputMessage="1" showErrorMessage="1" sqref="C24" xr:uid="{CE0B543C-47BC-4616-8800-3FE1D698DB92}">
      <formula1>"0.05,0.1,0.2,0.23,0.33.0.4,0.45"</formula1>
    </dataValidation>
  </dataValidations>
  <hyperlinks>
    <hyperlink ref="B2" r:id="rId1" xr:uid="{5209E0F8-F88C-4089-8D38-8286C6C058D3}"/>
  </hyperlinks>
  <pageMargins left="0.7" right="0.7" top="0.75" bottom="0.75" header="0.3" footer="0.3"/>
  <pageSetup paperSize="9" scale="73" orientation="portrait" horizontalDpi="4294967293" verticalDpi="0" r:id="rId2"/>
  <drawing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克彦 福田</dc:creator>
  <cp:lastModifiedBy>克彦 福田</cp:lastModifiedBy>
  <dcterms:created xsi:type="dcterms:W3CDTF">2026-09-12T02:16:45Z</dcterms:created>
  <dcterms:modified xsi:type="dcterms:W3CDTF">2026-09-22T08:02:36Z</dcterms:modified>
</cp:coreProperties>
</file>