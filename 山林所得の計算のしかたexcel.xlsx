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kkun\Downloads\"/>
    </mc:Choice>
  </mc:AlternateContent>
  <xr:revisionPtr revIDLastSave="0" documentId="13_ncr:1_{4E773DC0-A4C8-41FF-8EAE-01CCB45B38A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山林所得計算" sheetId="1" r:id="rId1"/>
    <sheet name="税率表" sheetId="2" r:id="rId2"/>
    <sheet name="特例・参考情報" sheetId="3" r:id="rId3"/>
  </sheets>
  <definedNames>
    <definedName name="_xlnm.Print_Area" localSheetId="0">山林所得計算!$A$1:$D$46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3" i="1" l="1"/>
  <c r="B29" i="1" s="1"/>
  <c r="B30" i="1" s="1"/>
  <c r="B31" i="1" l="1"/>
  <c r="B32" i="1"/>
  <c r="B33" i="1" l="1"/>
  <c r="B34" i="1" s="1"/>
</calcChain>
</file>

<file path=xl/sharedStrings.xml><?xml version="1.0" encoding="utf-8"?>
<sst xmlns="http://schemas.openxmlformats.org/spreadsheetml/2006/main" count="91" uniqueCount="83">
  <si>
    <t>山林所得・所得税 計算シート</t>
  </si>
  <si>
    <t>入力項目・計算項目</t>
  </si>
  <si>
    <t>収入金額</t>
  </si>
  <si>
    <t>山林の譲渡代金など</t>
  </si>
  <si>
    <t>必要経費</t>
  </si>
  <si>
    <t>収入に対応する必要経費</t>
  </si>
  <si>
    <t>山林所得の特別控除額（自動計算）</t>
  </si>
  <si>
    <t>控除前所得の1/2と50万円のいずれか少ない額</t>
  </si>
  <si>
    <t>青色申告特別控除額</t>
  </si>
  <si>
    <t>上限10万円。適用しない場合は0円</t>
  </si>
  <si>
    <t>計算結果</t>
  </si>
  <si>
    <t>控除前所得（収入－必要経費）</t>
  </si>
  <si>
    <t>控除前の所得</t>
  </si>
  <si>
    <t>山林所得の金額</t>
  </si>
  <si>
    <t>特別控除・青色申告特別控除後</t>
  </si>
  <si>
    <t>課税される山林所得金額</t>
  </si>
  <si>
    <t>1,000円未満切捨て</t>
  </si>
  <si>
    <t>所得税率</t>
  </si>
  <si>
    <t>課税所得に応じた税率</t>
  </si>
  <si>
    <t>控除額</t>
  </si>
  <si>
    <t>速算表の控除額</t>
  </si>
  <si>
    <t>所得税額（復興特別所得税等を除く）</t>
  </si>
  <si>
    <t>A×B－C</t>
  </si>
  <si>
    <t>所得税額（1,000円未満切捨て）</t>
  </si>
  <si>
    <t>最終的な税額（1,000円未満切捨て）</t>
  </si>
  <si>
    <t>注意</t>
  </si>
  <si>
    <t>・山林所得の特別控除額は、控除前所得の1/2と50万円のいずれか少ない額で自動計算します。</t>
  </si>
  <si>
    <t>・青色申告特別控除額は、特別控除後の残額を超えて適用されないように計算しています。</t>
  </si>
  <si>
    <t>・所得税額は、最後に1,000円未満を切り捨てる欄を設けています。</t>
  </si>
  <si>
    <t>・このシートは所得税の速算表による概算です。復興特別所得税、住民税、各種個別事情は含みません。</t>
  </si>
  <si>
    <t>・税率表は、提示された国税庁資料（令和7年分）の数値を登録しています。</t>
  </si>
  <si>
    <t>税率</t>
  </si>
  <si>
    <t>算式</t>
  </si>
  <si>
    <t>山林所得の申告のしかた 令和7年</t>
    <rPh sb="0" eb="2">
      <t>サンリン</t>
    </rPh>
    <rPh sb="2" eb="4">
      <t>ショトク</t>
    </rPh>
    <rPh sb="5" eb="7">
      <t>シンコク</t>
    </rPh>
    <rPh sb="12" eb="14">
      <t>レイワ</t>
    </rPh>
    <rPh sb="15" eb="16">
      <t>ネン</t>
    </rPh>
    <phoneticPr fontId="3"/>
  </si>
  <si>
    <t>参照情報：</t>
    <rPh sb="0" eb="2">
      <t>サンショウ</t>
    </rPh>
    <rPh sb="2" eb="4">
      <t>ジョウホウ</t>
    </rPh>
    <phoneticPr fontId="7"/>
  </si>
  <si>
    <t>https://www.nta.go.jp/taxes/shiraberu/shinkoku/tebiki/2025/pdf/P/P1.pdf</t>
    <phoneticPr fontId="7"/>
  </si>
  <si>
    <t>山林所得の金額は、次の算式で計算します。</t>
    <rPh sb="0" eb="2">
      <t>サンリン</t>
    </rPh>
    <rPh sb="2" eb="4">
      <t>ショトク</t>
    </rPh>
    <rPh sb="5" eb="7">
      <t>キンガク</t>
    </rPh>
    <rPh sb="9" eb="10">
      <t>ツギ</t>
    </rPh>
    <rPh sb="11" eb="13">
      <t>サンシキ</t>
    </rPh>
    <rPh sb="14" eb="16">
      <t>ケイサン</t>
    </rPh>
    <phoneticPr fontId="9"/>
  </si>
  <si>
    <t>山林所得に関係する主な特例・参考情報</t>
  </si>
  <si>
    <t>このシートの目的</t>
  </si>
  <si>
    <t>山林所得には、一定の条件を満たす場合に利用できる特例があります。このシートでは、特例の存在・概要・確認ポイント・計算方法の参照先を確認できます。</t>
  </si>
  <si>
    <t>特例・制度</t>
  </si>
  <si>
    <t>根拠法令</t>
  </si>
  <si>
    <t>どんな場合の制度か</t>
  </si>
  <si>
    <t>確認したい主なポイント</t>
  </si>
  <si>
    <t>計算方法の概要</t>
  </si>
  <si>
    <t>参照先</t>
  </si>
  <si>
    <t>森林計画特別控除の特例</t>
  </si>
  <si>
    <t>租税特別措置法30条の2</t>
  </si>
  <si>
    <t>森林計画に基づく伐採・譲渡など、一定の要件に該当する場合に関係する特例。</t>
  </si>
  <si>
    <t>対象となる森林計画か／対象となる行為・譲渡か／適用期限やその他の要件</t>
  </si>
  <si>
    <t>対象となる山林所得等を確認し、法令・国税庁の計算方法に従って特別控除額を確認する。</t>
  </si>
  <si>
    <t>国税庁の山林所得案内・租税特別措置法30条の2</t>
  </si>
  <si>
    <t>収用などにより山林を譲渡した場合の特例</t>
  </si>
  <si>
    <t>租税特別措置法33条・33条の4</t>
  </si>
  <si>
    <t>公共事業などのために土地・山林を収用等された場合に関係する特例。</t>
  </si>
  <si>
    <t>収用等に該当するか／5,000万円特別控除の要件／代替資産の取得の有無／特例の選択関係</t>
  </si>
  <si>
    <t>5,000万円特別控除または代替資産の特例など、該当する制度の計算明細を確認する。</t>
  </si>
  <si>
    <t>国税庁の収用特例の案内</t>
  </si>
  <si>
    <t>山林の譲渡代金が貸倒れになった場合の特例</t>
  </si>
  <si>
    <t>所得税法64条1項</t>
  </si>
  <si>
    <t>山林の譲渡代金が回収できず、貸倒れとなった場合に関係する特例。</t>
  </si>
  <si>
    <t>本当に貸倒れに該当するか／山林経営が事業に該当するか／貸倒れの事実・金額を証明できるか</t>
  </si>
  <si>
    <t>貸倒れとなった譲渡代金に対応する山林所得について、適用要件と計算方法を確認する。</t>
  </si>
  <si>
    <t>国税庁の山林所得案内・所得税法64条1項</t>
  </si>
  <si>
    <t>保証債務を履行するため山林を譲渡した場合の特例</t>
  </si>
  <si>
    <t>所得税法64条2項</t>
  </si>
  <si>
    <t>保証債務を履行するために山林を譲渡し、一定の要件を満たす場合に関係する特例。</t>
  </si>
  <si>
    <t>保証債務の履行のための譲渡か／求償権を行使できなくなったか／適用除外に該当しないか</t>
  </si>
  <si>
    <t>保証債務の履行額や求償権に関する状況を確認し、対応する山林所得の計算方法を参照する。</t>
  </si>
  <si>
    <t>国税庁の山林所得案内・所得税法64条2項</t>
  </si>
  <si>
    <t>確認時の注意</t>
  </si>
  <si>
    <t>・このシートは特例の存在を知り、確認するための参考情報です。適用できることを自動判定するものではありません。</t>
  </si>
  <si>
    <t>・特例は適用条件、期限、証明書類、他の制度との選択関係などがあるため、国税庁資料や税務署等で確認してください。</t>
  </si>
  <si>
    <t>・計算方法は、国税庁の申告案内・計算明細書・法令の該当箇所を参照してください。</t>
  </si>
  <si>
    <t>主な参照先</t>
  </si>
  <si>
    <t>国税庁：令和7年分 山林所得の申告のしかた</t>
  </si>
  <si>
    <t>https://www.nta.go.jp/taxes/shiraberu/shinkoku/tebiki/2025/pdf/P/P7.pdf</t>
  </si>
  <si>
    <t>e-Gov法令検索：租税特別措置法</t>
  </si>
  <si>
    <t>https://elaws.e-gov.go.jp/document?lawid=332AC0000000026</t>
  </si>
  <si>
    <t>e-Gov法令検索：所得税法</t>
  </si>
  <si>
    <t>https://elaws.e-gov.go.jp/document?lawid=340AC0000000033</t>
  </si>
  <si>
    <t>・山林所得の税金が軽減される特例についてSheet"特例・参考情報"を参照</t>
    <rPh sb="26" eb="28">
      <t>トクレイ</t>
    </rPh>
    <rPh sb="29" eb="31">
      <t>サンコウ</t>
    </rPh>
    <rPh sb="31" eb="33">
      <t>ジョウホウ</t>
    </rPh>
    <rPh sb="35" eb="37">
      <t>サンショウ</t>
    </rPh>
    <phoneticPr fontId="7"/>
  </si>
  <si>
    <t>(課税される山林所得金額 ×5分の1× 税率)× 5　－控除額</t>
    <rPh sb="28" eb="31">
      <t>コウジョガク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</si>
</sst>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"/>
  </numFmts>
  <fonts count="11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9C0006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2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31">
    <xf numFmtId="0" fontId="0" fillId="0" borderId="0" xfId="0"/>
    <xf numFmtId="0" fontId="0" fillId="0" borderId="1" xfId="0" applyBorder="1" applyAlignment="1">
      <alignment vertical="center" wrapText="1"/>
    </xf>
    <xf numFmtId="0" fontId="6" fillId="2" borderId="0" xfId="0" applyFont="1" applyFill="1" applyAlignment="1">
      <alignment horizontal="center"/>
    </xf>
    <xf numFmtId="9" fontId="0" fillId="0" borderId="1" xfId="0" applyNumberFormat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0" fillId="9" borderId="0" xfId="0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0" xfId="0" applyFont="1" applyFill="1" applyAlignment="1" applyProtection="1">
      <alignment vertical="center" wrapText="1"/>
    </xf>
    <xf numFmtId="0" fontId="0" fillId="0" borderId="0" xfId="0" applyProtection="1"/>
    <xf numFmtId="0" fontId="0" fillId="5" borderId="0" xfId="0" applyFill="1" applyProtection="1"/>
    <xf numFmtId="0" fontId="0" fillId="0" borderId="0" xfId="0" applyProtection="1"/>
    <xf numFmtId="0" fontId="2" fillId="5" borderId="0" xfId="2" applyFill="1" applyProtection="1">
      <alignment vertical="center"/>
    </xf>
    <xf numFmtId="0" fontId="0" fillId="0" borderId="0" xfId="0" applyAlignment="1" applyProtection="1">
      <alignment vertical="center" wrapText="1"/>
    </xf>
    <xf numFmtId="0" fontId="4" fillId="3" borderId="0" xfId="0" applyFont="1" applyFill="1" applyAlignment="1" applyProtection="1">
      <alignment vertical="center" wrapText="1"/>
    </xf>
    <xf numFmtId="0" fontId="0" fillId="0" borderId="1" xfId="0" applyBorder="1" applyAlignment="1" applyProtection="1">
      <alignment vertical="center" wrapText="1"/>
    </xf>
    <xf numFmtId="0" fontId="0" fillId="0" borderId="1" xfId="0" applyBorder="1" applyAlignment="1" applyProtection="1">
      <alignment wrapText="1"/>
    </xf>
    <xf numFmtId="176" fontId="0" fillId="4" borderId="1" xfId="0" applyNumberFormat="1" applyFill="1" applyBorder="1" applyAlignment="1" applyProtection="1">
      <alignment vertical="center" wrapText="1"/>
    </xf>
    <xf numFmtId="9" fontId="0" fillId="4" borderId="1" xfId="0" applyNumberFormat="1" applyFill="1" applyBorder="1" applyAlignment="1" applyProtection="1">
      <alignment vertical="center" wrapText="1"/>
    </xf>
    <xf numFmtId="0" fontId="4" fillId="0" borderId="1" xfId="0" applyFont="1" applyBorder="1" applyAlignment="1" applyProtection="1">
      <alignment vertical="center" wrapText="1"/>
    </xf>
    <xf numFmtId="0" fontId="5" fillId="0" borderId="0" xfId="0" applyFont="1" applyAlignment="1" applyProtection="1">
      <alignment vertical="center" wrapText="1"/>
    </xf>
    <xf numFmtId="0" fontId="0" fillId="0" borderId="0" xfId="0" applyAlignment="1" applyProtection="1">
      <alignment wrapText="1"/>
    </xf>
    <xf numFmtId="0" fontId="8" fillId="0" borderId="0" xfId="1" applyProtection="1"/>
    <xf numFmtId="176" fontId="0" fillId="6" borderId="3" xfId="0" applyNumberFormat="1" applyFill="1" applyBorder="1" applyAlignment="1" applyProtection="1">
      <alignment vertical="center"/>
      <protection locked="0"/>
    </xf>
    <xf numFmtId="176" fontId="0" fillId="7" borderId="3" xfId="0" applyNumberFormat="1" applyFill="1" applyBorder="1" applyAlignment="1" applyProtection="1">
      <alignment vertical="center"/>
      <protection locked="0"/>
    </xf>
    <xf numFmtId="176" fontId="0" fillId="8" borderId="2" xfId="0" applyNumberFormat="1" applyFill="1" applyBorder="1" applyAlignment="1" applyProtection="1">
      <alignment vertical="center"/>
      <protection locked="0"/>
    </xf>
  </cellXfs>
  <cellStyles count="5">
    <cellStyle name="ハイパーリンク" xfId="1" builtinId="8"/>
    <cellStyle name="ハイパーリンク 2" xfId="3" xr:uid="{5614A3AC-A103-45E3-BE43-28858FA98248}"/>
    <cellStyle name="標準" xfId="0" builtinId="0"/>
    <cellStyle name="標準 2" xfId="2" xr:uid="{264C366A-4AE3-4B6E-BE3B-00FE52FC6797}"/>
    <cellStyle name="標準 3" xfId="4" xr:uid="{919B3CF5-C049-4362-B13A-55FB9055A5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124239</xdr:colOff>
          <xdr:row>2</xdr:row>
          <xdr:rowOff>41412</xdr:rowOff>
        </xdr:from>
        <xdr:to>
          <xdr:col>2</xdr:col>
          <xdr:colOff>2884832</xdr:colOff>
          <xdr:row>8</xdr:row>
          <xdr:rowOff>162338</xdr:rowOff>
        </xdr:to>
        <xdr:pic>
          <xdr:nvPicPr>
            <xdr:cNvPr id="27" name="図 26">
              <a:extLst>
                <a:ext uri="{FF2B5EF4-FFF2-40B4-BE49-F238E27FC236}">
                  <a16:creationId xmlns:a16="http://schemas.microsoft.com/office/drawing/2014/main" id="{DAD7613F-F836-259A-43E7-AB4159A582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F$3:$O$11" spid="_x0000_s10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4239" y="389282"/>
              <a:ext cx="6877050" cy="15621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198783</xdr:colOff>
      <xdr:row>9</xdr:row>
      <xdr:rowOff>8282</xdr:rowOff>
    </xdr:from>
    <xdr:to>
      <xdr:col>2</xdr:col>
      <xdr:colOff>3692768</xdr:colOff>
      <xdr:row>18</xdr:row>
      <xdr:rowOff>124240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2C4B514C-A2B4-4881-A940-E67E6AEFDF8D}"/>
            </a:ext>
          </a:extLst>
        </xdr:cNvPr>
        <xdr:cNvSpPr txBox="1"/>
      </xdr:nvSpPr>
      <xdr:spPr>
        <a:xfrm>
          <a:off x="198783" y="2170043"/>
          <a:ext cx="7610442" cy="2277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令和７年分の山林所得の収入金額は、令和７年中に、伐採して譲渡したり、立木のままで譲渡した山林（</a:t>
          </a:r>
          <a:r>
            <a:rPr kumimoji="1" lang="ja-JP" altLang="en-US" sz="1100">
              <a:solidFill>
                <a:srgbClr val="FF0000"/>
              </a:solidFill>
            </a:rPr>
            <a:t>所有期間が５年を超えるもの</a:t>
          </a:r>
          <a:r>
            <a:rPr kumimoji="1" lang="ja-JP" altLang="en-US" sz="1100"/>
            <a:t>に限ります。）の譲渡代金の合計額ですが、次の点に注意してください。</a:t>
          </a:r>
        </a:p>
        <a:p>
          <a:r>
            <a:rPr kumimoji="1" lang="en-US" altLang="ja-JP" sz="1100"/>
            <a:t>1</a:t>
          </a:r>
          <a:r>
            <a:rPr kumimoji="1" lang="ja-JP" altLang="en-US" sz="1100"/>
            <a:t>　令和７年中に譲渡した山林 </a:t>
          </a:r>
          <a:r>
            <a:rPr kumimoji="1" lang="en-US" altLang="ja-JP" sz="1100"/>
            <a:t>…… </a:t>
          </a:r>
          <a:r>
            <a:rPr kumimoji="1" lang="ja-JP" altLang="en-US" sz="1100"/>
            <a:t>売買契約などに基づいて、令和７年中に買主などに引き渡した山林ですが、令和７</a:t>
          </a:r>
        </a:p>
        <a:p>
          <a:r>
            <a:rPr kumimoji="1" lang="ja-JP" altLang="en-US" sz="1100"/>
            <a:t>年中に引渡しが済んでいない山林であっても、令和７年中に売買契約の効力が生じているものは、令和７年中に譲渡し</a:t>
          </a:r>
        </a:p>
        <a:p>
          <a:r>
            <a:rPr kumimoji="1" lang="ja-JP" altLang="en-US" sz="1100"/>
            <a:t>た山林として申告することができます。</a:t>
          </a:r>
        </a:p>
        <a:p>
          <a:r>
            <a:rPr kumimoji="1" lang="en-US" altLang="ja-JP" sz="1100"/>
            <a:t>2</a:t>
          </a:r>
          <a:r>
            <a:rPr kumimoji="1" lang="ja-JP" altLang="en-US" sz="1100"/>
            <a:t>　未収入金 </a:t>
          </a:r>
          <a:r>
            <a:rPr kumimoji="1" lang="en-US" altLang="ja-JP" sz="1100"/>
            <a:t>…… </a:t>
          </a:r>
          <a:r>
            <a:rPr kumimoji="1" lang="ja-JP" altLang="en-US" sz="1100"/>
            <a:t>令和７年中に譲渡した山林の譲渡代金を令和７年中に受け取っていない場合でも、</a:t>
          </a:r>
          <a:r>
            <a:rPr kumimoji="1" lang="ja-JP" altLang="en-US" sz="1100">
              <a:solidFill>
                <a:srgbClr val="FF0000"/>
              </a:solidFill>
            </a:rPr>
            <a:t>未収入金を含め</a:t>
          </a:r>
        </a:p>
        <a:p>
          <a:r>
            <a:rPr kumimoji="1" lang="ja-JP" altLang="en-US" sz="1100">
              <a:solidFill>
                <a:srgbClr val="FF0000"/>
              </a:solidFill>
            </a:rPr>
            <a:t>た譲渡代金の全部</a:t>
          </a:r>
          <a:r>
            <a:rPr kumimoji="1" lang="ja-JP" altLang="en-US" sz="1100"/>
            <a:t>が令和７年分の収入金額になります。</a:t>
          </a:r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</xdr:row>
      <xdr:rowOff>24024</xdr:rowOff>
    </xdr:from>
    <xdr:to>
      <xdr:col>6</xdr:col>
      <xdr:colOff>89984</xdr:colOff>
      <xdr:row>4</xdr:row>
      <xdr:rowOff>60167</xdr:rowOff>
    </xdr:to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1A662138-94F3-4B83-9CA9-34A63DA87B0F}"/>
            </a:ext>
          </a:extLst>
        </xdr:cNvPr>
        <xdr:cNvSpPr/>
      </xdr:nvSpPr>
      <xdr:spPr>
        <a:xfrm>
          <a:off x="10137913" y="504415"/>
          <a:ext cx="777441" cy="516535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17942</xdr:colOff>
      <xdr:row>2</xdr:row>
      <xdr:rowOff>18019</xdr:rowOff>
    </xdr:from>
    <xdr:to>
      <xdr:col>6</xdr:col>
      <xdr:colOff>197629</xdr:colOff>
      <xdr:row>4</xdr:row>
      <xdr:rowOff>96206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40D14E70-D692-48A2-850E-C1F811DAFEBC}"/>
            </a:ext>
          </a:extLst>
        </xdr:cNvPr>
        <xdr:cNvSpPr txBox="1"/>
      </xdr:nvSpPr>
      <xdr:spPr>
        <a:xfrm>
          <a:off x="10155855" y="498410"/>
          <a:ext cx="867144" cy="558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/>
              </a:solidFill>
            </a:rPr>
            <a:t>収入金額</a:t>
          </a:r>
          <a:endParaRPr kumimoji="1" lang="en-US" altLang="ja-JP" sz="1100">
            <a:solidFill>
              <a:schemeClr val="bg1"/>
            </a:solidFill>
          </a:endParaRPr>
        </a:p>
        <a:p>
          <a:r>
            <a:rPr kumimoji="1" lang="en-US" altLang="ja-JP" sz="1100">
              <a:solidFill>
                <a:schemeClr val="bg1"/>
              </a:solidFill>
            </a:rPr>
            <a:t>(※)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347138</xdr:colOff>
      <xdr:row>2</xdr:row>
      <xdr:rowOff>0</xdr:rowOff>
    </xdr:from>
    <xdr:to>
      <xdr:col>7</xdr:col>
      <xdr:colOff>437123</xdr:colOff>
      <xdr:row>4</xdr:row>
      <xdr:rowOff>102211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C7FDB2E0-1BC3-4751-86BD-CB808EEE96C5}"/>
            </a:ext>
          </a:extLst>
        </xdr:cNvPr>
        <xdr:cNvGrpSpPr/>
      </xdr:nvGrpSpPr>
      <xdr:grpSpPr>
        <a:xfrm>
          <a:off x="11167538" y="476250"/>
          <a:ext cx="775785" cy="578461"/>
          <a:chOff x="5834063" y="2095500"/>
          <a:chExt cx="773906" cy="577453"/>
        </a:xfrm>
      </xdr:grpSpPr>
      <xdr:sp macro="" textlink="">
        <xdr:nvSpPr>
          <xdr:cNvPr id="77" name="四角形: 角を丸くする 76">
            <a:extLst>
              <a:ext uri="{FF2B5EF4-FFF2-40B4-BE49-F238E27FC236}">
                <a16:creationId xmlns:a16="http://schemas.microsoft.com/office/drawing/2014/main" id="{04C517A1-4C12-7B4B-EEBF-EC2AABFD93A2}"/>
              </a:ext>
            </a:extLst>
          </xdr:cNvPr>
          <xdr:cNvSpPr/>
        </xdr:nvSpPr>
        <xdr:spPr>
          <a:xfrm>
            <a:off x="5834063" y="2119312"/>
            <a:ext cx="773906" cy="511969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  <a:ln>
            <a:solidFill>
              <a:schemeClr val="accent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8" name="テキスト ボックス 77">
            <a:extLst>
              <a:ext uri="{FF2B5EF4-FFF2-40B4-BE49-F238E27FC236}">
                <a16:creationId xmlns:a16="http://schemas.microsoft.com/office/drawing/2014/main" id="{95674919-652D-73B1-76D8-885FBF6FD196}"/>
              </a:ext>
            </a:extLst>
          </xdr:cNvPr>
          <xdr:cNvSpPr txBox="1"/>
        </xdr:nvSpPr>
        <xdr:spPr>
          <a:xfrm>
            <a:off x="5965033" y="2095500"/>
            <a:ext cx="613170" cy="577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solidFill>
                  <a:schemeClr val="tx1"/>
                </a:solidFill>
              </a:rPr>
              <a:t>必要</a:t>
            </a:r>
            <a:endParaRPr kumimoji="1" lang="en-US" altLang="ja-JP" sz="1100">
              <a:solidFill>
                <a:schemeClr val="tx1"/>
              </a:solidFill>
            </a:endParaRPr>
          </a:p>
          <a:p>
            <a:r>
              <a:rPr kumimoji="1" lang="ja-JP" altLang="en-US" sz="1100">
                <a:solidFill>
                  <a:schemeClr val="tx1"/>
                </a:solidFill>
              </a:rPr>
              <a:t>経費</a:t>
            </a:r>
          </a:p>
        </xdr:txBody>
      </xdr:sp>
    </xdr:grpSp>
    <xdr:clientData/>
  </xdr:twoCellAnchor>
  <xdr:twoCellAnchor>
    <xdr:from>
      <xdr:col>8</xdr:col>
      <xdr:colOff>96522</xdr:colOff>
      <xdr:row>2</xdr:row>
      <xdr:rowOff>0</xdr:rowOff>
    </xdr:from>
    <xdr:to>
      <xdr:col>12</xdr:col>
      <xdr:colOff>486363</xdr:colOff>
      <xdr:row>4</xdr:row>
      <xdr:rowOff>108217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399450D5-E6B6-4E83-9809-A8EA62C49DE8}"/>
            </a:ext>
          </a:extLst>
        </xdr:cNvPr>
        <xdr:cNvGrpSpPr/>
      </xdr:nvGrpSpPr>
      <xdr:grpSpPr>
        <a:xfrm>
          <a:off x="12288522" y="476250"/>
          <a:ext cx="3133041" cy="584467"/>
          <a:chOff x="7060405" y="2095500"/>
          <a:chExt cx="3125392" cy="583406"/>
        </a:xfrm>
      </xdr:grpSpPr>
      <xdr:sp macro="" textlink="">
        <xdr:nvSpPr>
          <xdr:cNvPr id="80" name="四角形: 角を丸くする 79">
            <a:extLst>
              <a:ext uri="{FF2B5EF4-FFF2-40B4-BE49-F238E27FC236}">
                <a16:creationId xmlns:a16="http://schemas.microsoft.com/office/drawing/2014/main" id="{0ECF051F-5524-0E95-0225-9B54270502D2}"/>
              </a:ext>
            </a:extLst>
          </xdr:cNvPr>
          <xdr:cNvSpPr/>
        </xdr:nvSpPr>
        <xdr:spPr>
          <a:xfrm>
            <a:off x="7060405" y="2119312"/>
            <a:ext cx="1381125" cy="511969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1" name="テキスト ボックス 80">
            <a:extLst>
              <a:ext uri="{FF2B5EF4-FFF2-40B4-BE49-F238E27FC236}">
                <a16:creationId xmlns:a16="http://schemas.microsoft.com/office/drawing/2014/main" id="{ACEAA652-D513-9511-1D86-49B47B81A689}"/>
              </a:ext>
            </a:extLst>
          </xdr:cNvPr>
          <xdr:cNvSpPr txBox="1"/>
        </xdr:nvSpPr>
        <xdr:spPr>
          <a:xfrm>
            <a:off x="7131844" y="2095500"/>
            <a:ext cx="1303733" cy="577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solidFill>
                  <a:schemeClr val="tx1"/>
                </a:solidFill>
              </a:rPr>
              <a:t>山林所得の特別控除額</a:t>
            </a:r>
            <a:r>
              <a:rPr kumimoji="1" lang="en-US" altLang="ja-JP" sz="1100">
                <a:solidFill>
                  <a:schemeClr val="tx1"/>
                </a:solidFill>
              </a:rPr>
              <a:t>(50</a:t>
            </a:r>
            <a:r>
              <a:rPr kumimoji="1" lang="ja-JP" altLang="en-US" sz="1100">
                <a:solidFill>
                  <a:schemeClr val="tx1"/>
                </a:solidFill>
              </a:rPr>
              <a:t>万円</a:t>
            </a:r>
            <a:r>
              <a:rPr kumimoji="1" lang="en-US" altLang="ja-JP" sz="1100">
                <a:solidFill>
                  <a:schemeClr val="tx1"/>
                </a:solidFill>
              </a:rPr>
              <a:t>)</a:t>
            </a:r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A9304058-EBA9-D19B-118F-E7295B61234B}"/>
              </a:ext>
            </a:extLst>
          </xdr:cNvPr>
          <xdr:cNvSpPr txBox="1"/>
        </xdr:nvSpPr>
        <xdr:spPr>
          <a:xfrm>
            <a:off x="8590360" y="2101453"/>
            <a:ext cx="1535906" cy="577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>
                <a:solidFill>
                  <a:schemeClr val="tx1"/>
                </a:solidFill>
              </a:rPr>
              <a:t>(</a:t>
            </a:r>
            <a:r>
              <a:rPr kumimoji="1" lang="ja-JP" altLang="en-US" sz="1100">
                <a:solidFill>
                  <a:schemeClr val="tx1"/>
                </a:solidFill>
              </a:rPr>
              <a:t>収入金額－必要経費</a:t>
            </a:r>
            <a:r>
              <a:rPr kumimoji="1" lang="en-US" altLang="ja-JP" sz="1100">
                <a:solidFill>
                  <a:schemeClr val="tx1"/>
                </a:solidFill>
              </a:rPr>
              <a:t>)</a:t>
            </a:r>
            <a:r>
              <a:rPr kumimoji="1" lang="ja-JP" altLang="en-US" sz="1100">
                <a:solidFill>
                  <a:schemeClr val="tx1"/>
                </a:solidFill>
              </a:rPr>
              <a:t>の額が限度額</a:t>
            </a:r>
          </a:p>
        </xdr:txBody>
      </xdr:sp>
      <xdr:sp macro="" textlink="">
        <xdr:nvSpPr>
          <xdr:cNvPr id="83" name="左大かっこ 82">
            <a:extLst>
              <a:ext uri="{FF2B5EF4-FFF2-40B4-BE49-F238E27FC236}">
                <a16:creationId xmlns:a16="http://schemas.microsoft.com/office/drawing/2014/main" id="{0832AECA-BF2B-97C1-1987-B58D508229FC}"/>
              </a:ext>
            </a:extLst>
          </xdr:cNvPr>
          <xdr:cNvSpPr/>
        </xdr:nvSpPr>
        <xdr:spPr>
          <a:xfrm>
            <a:off x="8518922" y="2166937"/>
            <a:ext cx="154781" cy="434578"/>
          </a:xfrm>
          <a:prstGeom prst="leftBracke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4" name="左大かっこ 83">
            <a:extLst>
              <a:ext uri="{FF2B5EF4-FFF2-40B4-BE49-F238E27FC236}">
                <a16:creationId xmlns:a16="http://schemas.microsoft.com/office/drawing/2014/main" id="{EDB0FACF-CC7C-14E6-4B82-C76BB3E02635}"/>
              </a:ext>
            </a:extLst>
          </xdr:cNvPr>
          <xdr:cNvSpPr/>
        </xdr:nvSpPr>
        <xdr:spPr>
          <a:xfrm rot="10800000">
            <a:off x="10031016" y="2178843"/>
            <a:ext cx="154781" cy="434578"/>
          </a:xfrm>
          <a:prstGeom prst="leftBracke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96522</xdr:colOff>
      <xdr:row>5</xdr:row>
      <xdr:rowOff>36197</xdr:rowOff>
    </xdr:from>
    <xdr:to>
      <xdr:col>12</xdr:col>
      <xdr:colOff>576068</xdr:colOff>
      <xdr:row>7</xdr:row>
      <xdr:rowOff>138408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0CF5CC90-3CC8-4287-B655-0AE6F3CBB589}"/>
            </a:ext>
          </a:extLst>
        </xdr:cNvPr>
        <xdr:cNvGrpSpPr/>
      </xdr:nvGrpSpPr>
      <xdr:grpSpPr>
        <a:xfrm>
          <a:off x="12288522" y="1226822"/>
          <a:ext cx="3222746" cy="578461"/>
          <a:chOff x="7060405" y="2845594"/>
          <a:chExt cx="3214689" cy="577453"/>
        </a:xfrm>
      </xdr:grpSpPr>
      <xdr:sp macro="" textlink="">
        <xdr:nvSpPr>
          <xdr:cNvPr id="86" name="四角形: 角を丸くする 85">
            <a:extLst>
              <a:ext uri="{FF2B5EF4-FFF2-40B4-BE49-F238E27FC236}">
                <a16:creationId xmlns:a16="http://schemas.microsoft.com/office/drawing/2014/main" id="{4D0B8B0E-0591-4A36-9E01-58DCF9025DFD}"/>
              </a:ext>
            </a:extLst>
          </xdr:cNvPr>
          <xdr:cNvSpPr/>
        </xdr:nvSpPr>
        <xdr:spPr>
          <a:xfrm>
            <a:off x="7060405" y="2869406"/>
            <a:ext cx="1381125" cy="511969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7" name="テキスト ボックス 86">
            <a:extLst>
              <a:ext uri="{FF2B5EF4-FFF2-40B4-BE49-F238E27FC236}">
                <a16:creationId xmlns:a16="http://schemas.microsoft.com/office/drawing/2014/main" id="{973A92D3-1B32-BD3D-0746-2E9383972027}"/>
              </a:ext>
            </a:extLst>
          </xdr:cNvPr>
          <xdr:cNvSpPr txBox="1"/>
        </xdr:nvSpPr>
        <xdr:spPr>
          <a:xfrm>
            <a:off x="7131844" y="2845594"/>
            <a:ext cx="1303733" cy="577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solidFill>
                  <a:schemeClr val="tx1"/>
                </a:solidFill>
              </a:rPr>
              <a:t>青色申告</a:t>
            </a:r>
            <a:endParaRPr kumimoji="1" lang="en-US" altLang="ja-JP" sz="1100">
              <a:solidFill>
                <a:schemeClr val="tx1"/>
              </a:solidFill>
            </a:endParaRPr>
          </a:p>
          <a:p>
            <a:r>
              <a:rPr kumimoji="1" lang="ja-JP" altLang="en-US" sz="1100">
                <a:solidFill>
                  <a:schemeClr val="tx1"/>
                </a:solidFill>
              </a:rPr>
              <a:t>特別控除額</a:t>
            </a: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F5402252-2924-0B6A-E827-D2997EACE6E4}"/>
              </a:ext>
            </a:extLst>
          </xdr:cNvPr>
          <xdr:cNvSpPr txBox="1"/>
        </xdr:nvSpPr>
        <xdr:spPr>
          <a:xfrm>
            <a:off x="8590360" y="2845594"/>
            <a:ext cx="1684734" cy="577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solidFill>
                  <a:schemeClr val="tx1"/>
                </a:solidFill>
              </a:rPr>
              <a:t>青色申告について</a:t>
            </a:r>
            <a:endParaRPr kumimoji="1" lang="en-US" altLang="ja-JP" sz="1100">
              <a:solidFill>
                <a:schemeClr val="tx1"/>
              </a:solidFill>
            </a:endParaRPr>
          </a:p>
          <a:p>
            <a:r>
              <a:rPr kumimoji="1" lang="en-US" altLang="ja-JP" sz="1100">
                <a:solidFill>
                  <a:schemeClr val="tx1"/>
                </a:solidFill>
              </a:rPr>
              <a:t>10</a:t>
            </a:r>
            <a:r>
              <a:rPr kumimoji="1" lang="ja-JP" altLang="en-US" sz="1100">
                <a:solidFill>
                  <a:schemeClr val="tx1"/>
                </a:solidFill>
              </a:rPr>
              <a:t>万円以内の一定額</a:t>
            </a:r>
          </a:p>
        </xdr:txBody>
      </xdr:sp>
      <xdr:sp macro="" textlink="">
        <xdr:nvSpPr>
          <xdr:cNvPr id="89" name="左大かっこ 88">
            <a:extLst>
              <a:ext uri="{FF2B5EF4-FFF2-40B4-BE49-F238E27FC236}">
                <a16:creationId xmlns:a16="http://schemas.microsoft.com/office/drawing/2014/main" id="{89B942AC-8982-8706-08C5-05F7C00B95AE}"/>
              </a:ext>
            </a:extLst>
          </xdr:cNvPr>
          <xdr:cNvSpPr/>
        </xdr:nvSpPr>
        <xdr:spPr>
          <a:xfrm>
            <a:off x="8518922" y="2917031"/>
            <a:ext cx="154781" cy="434578"/>
          </a:xfrm>
          <a:prstGeom prst="leftBracke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0" name="左大かっこ 89">
            <a:extLst>
              <a:ext uri="{FF2B5EF4-FFF2-40B4-BE49-F238E27FC236}">
                <a16:creationId xmlns:a16="http://schemas.microsoft.com/office/drawing/2014/main" id="{330C1D16-F7D9-00E1-AFB3-37A83A69659B}"/>
              </a:ext>
            </a:extLst>
          </xdr:cNvPr>
          <xdr:cNvSpPr/>
        </xdr:nvSpPr>
        <xdr:spPr>
          <a:xfrm rot="10800000">
            <a:off x="10031016" y="2928937"/>
            <a:ext cx="154781" cy="434578"/>
          </a:xfrm>
          <a:prstGeom prst="leftBracke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66063</xdr:colOff>
      <xdr:row>2</xdr:row>
      <xdr:rowOff>132138</xdr:rowOff>
    </xdr:from>
    <xdr:to>
      <xdr:col>6</xdr:col>
      <xdr:colOff>430862</xdr:colOff>
      <xdr:row>3</xdr:row>
      <xdr:rowOff>234295</xdr:rowOff>
    </xdr:to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DBC758DB-8233-4934-895A-7E4F21408866}"/>
            </a:ext>
          </a:extLst>
        </xdr:cNvPr>
        <xdr:cNvSpPr txBox="1"/>
      </xdr:nvSpPr>
      <xdr:spPr>
        <a:xfrm>
          <a:off x="10891433" y="612529"/>
          <a:ext cx="364799" cy="342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tx1"/>
              </a:solidFill>
            </a:rPr>
            <a:t>－</a:t>
          </a:r>
        </a:p>
      </xdr:txBody>
    </xdr:sp>
    <xdr:clientData/>
  </xdr:twoCellAnchor>
  <xdr:twoCellAnchor>
    <xdr:from>
      <xdr:col>7</xdr:col>
      <xdr:colOff>449083</xdr:colOff>
      <xdr:row>2</xdr:row>
      <xdr:rowOff>132138</xdr:rowOff>
    </xdr:from>
    <xdr:to>
      <xdr:col>8</xdr:col>
      <xdr:colOff>126425</xdr:colOff>
      <xdr:row>3</xdr:row>
      <xdr:rowOff>234295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9198D602-7D25-4FE1-B123-0B58A06EFAC5}"/>
            </a:ext>
          </a:extLst>
        </xdr:cNvPr>
        <xdr:cNvSpPr txBox="1"/>
      </xdr:nvSpPr>
      <xdr:spPr>
        <a:xfrm>
          <a:off x="11961909" y="612529"/>
          <a:ext cx="364799" cy="342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tx1"/>
              </a:solidFill>
            </a:rPr>
            <a:t>－</a:t>
          </a:r>
        </a:p>
      </xdr:txBody>
    </xdr:sp>
    <xdr:clientData/>
  </xdr:twoCellAnchor>
  <xdr:twoCellAnchor>
    <xdr:from>
      <xdr:col>7</xdr:col>
      <xdr:colOff>449083</xdr:colOff>
      <xdr:row>5</xdr:row>
      <xdr:rowOff>144310</xdr:rowOff>
    </xdr:from>
    <xdr:to>
      <xdr:col>8</xdr:col>
      <xdr:colOff>126425</xdr:colOff>
      <xdr:row>7</xdr:row>
      <xdr:rowOff>6271</xdr:rowOff>
    </xdr:to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6FB031E9-3F2B-4F52-9C85-3743EA710C40}"/>
            </a:ext>
          </a:extLst>
        </xdr:cNvPr>
        <xdr:cNvSpPr txBox="1"/>
      </xdr:nvSpPr>
      <xdr:spPr>
        <a:xfrm>
          <a:off x="11961909" y="1345288"/>
          <a:ext cx="364799" cy="342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tx1"/>
              </a:solidFill>
            </a:rPr>
            <a:t>－</a:t>
          </a:r>
        </a:p>
      </xdr:txBody>
    </xdr:sp>
    <xdr:clientData/>
  </xdr:twoCellAnchor>
  <xdr:twoCellAnchor>
    <xdr:from>
      <xdr:col>13</xdr:col>
      <xdr:colOff>139785</xdr:colOff>
      <xdr:row>5</xdr:row>
      <xdr:rowOff>102265</xdr:rowOff>
    </xdr:from>
    <xdr:to>
      <xdr:col>14</xdr:col>
      <xdr:colOff>229769</xdr:colOff>
      <xdr:row>7</xdr:row>
      <xdr:rowOff>138408</xdr:rowOff>
    </xdr:to>
    <xdr:sp macro="" textlink="">
      <xdr:nvSpPr>
        <xdr:cNvPr id="94" name="四角形: 角を丸くする 93">
          <a:extLst>
            <a:ext uri="{FF2B5EF4-FFF2-40B4-BE49-F238E27FC236}">
              <a16:creationId xmlns:a16="http://schemas.microsoft.com/office/drawing/2014/main" id="{60FEB283-8FE5-4023-9BD6-DDAD9863F9C9}"/>
            </a:ext>
          </a:extLst>
        </xdr:cNvPr>
        <xdr:cNvSpPr/>
      </xdr:nvSpPr>
      <xdr:spPr>
        <a:xfrm>
          <a:off x="15777350" y="1303243"/>
          <a:ext cx="777441" cy="516535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175668</xdr:colOff>
      <xdr:row>5</xdr:row>
      <xdr:rowOff>78243</xdr:rowOff>
    </xdr:from>
    <xdr:to>
      <xdr:col>14</xdr:col>
      <xdr:colOff>355356</xdr:colOff>
      <xdr:row>7</xdr:row>
      <xdr:rowOff>204477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EA2218B0-EE9F-46FA-B1E4-89546E79FFF0}"/>
            </a:ext>
          </a:extLst>
        </xdr:cNvPr>
        <xdr:cNvSpPr txBox="1"/>
      </xdr:nvSpPr>
      <xdr:spPr>
        <a:xfrm>
          <a:off x="15813233" y="1279221"/>
          <a:ext cx="867145" cy="606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/>
              </a:solidFill>
            </a:rPr>
            <a:t>山林所得の金額</a:t>
          </a:r>
        </a:p>
      </xdr:txBody>
    </xdr:sp>
    <xdr:clientData/>
  </xdr:twoCellAnchor>
  <xdr:twoCellAnchor>
    <xdr:from>
      <xdr:col>12</xdr:col>
      <xdr:colOff>507061</xdr:colOff>
      <xdr:row>5</xdr:row>
      <xdr:rowOff>198399</xdr:rowOff>
    </xdr:from>
    <xdr:to>
      <xdr:col>13</xdr:col>
      <xdr:colOff>184404</xdr:colOff>
      <xdr:row>7</xdr:row>
      <xdr:rowOff>60360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79CDCE3E-439C-8FA6-C7C8-BE841D971C9E}"/>
            </a:ext>
          </a:extLst>
        </xdr:cNvPr>
        <xdr:cNvSpPr txBox="1"/>
      </xdr:nvSpPr>
      <xdr:spPr>
        <a:xfrm>
          <a:off x="15457170" y="1399377"/>
          <a:ext cx="364799" cy="342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tx1"/>
              </a:solidFill>
            </a:rPr>
            <a:t>＝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ta.go.jp/taxes/shiraberu/shinkoku/tebiki/2025/pdf/P/P1.pdf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6"/>
  <sheetViews>
    <sheetView tabSelected="1" view="pageBreakPreview" zoomScaleNormal="100" zoomScaleSheetLayoutView="100" workbookViewId="0">
      <selection sqref="A1:D1"/>
    </sheetView>
  </sheetViews>
  <sheetFormatPr defaultRowHeight="18.75" x14ac:dyDescent="0.4"/>
  <cols>
    <col min="1" max="1" width="34" style="16" customWidth="1"/>
    <col min="2" max="2" width="20" style="16" customWidth="1"/>
    <col min="3" max="3" width="52" style="16" customWidth="1"/>
    <col min="4" max="4" width="18" style="16" customWidth="1"/>
    <col min="5" max="16384" width="9" style="16"/>
  </cols>
  <sheetData>
    <row r="1" spans="1:15" x14ac:dyDescent="0.4">
      <c r="A1" s="13" t="s">
        <v>0</v>
      </c>
      <c r="B1" s="14"/>
      <c r="C1" s="14"/>
      <c r="D1" s="1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4">
      <c r="A2" s="17" t="s">
        <v>36</v>
      </c>
      <c r="B2" s="18"/>
      <c r="C2" s="18"/>
      <c r="D2" s="18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4">
      <c r="A3" s="18"/>
      <c r="B3" s="18"/>
      <c r="C3" s="18"/>
      <c r="D3" s="18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4">
      <c r="A4" s="18"/>
      <c r="B4" s="18"/>
      <c r="C4" s="18"/>
      <c r="D4" s="18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4">
      <c r="A5" s="18"/>
      <c r="B5" s="18"/>
      <c r="C5" s="18"/>
      <c r="D5" s="18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4">
      <c r="A6" s="18"/>
      <c r="B6" s="18"/>
      <c r="C6" s="18"/>
      <c r="D6" s="18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4">
      <c r="A7" s="18"/>
      <c r="B7" s="18"/>
      <c r="C7" s="18"/>
      <c r="D7" s="18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4">
      <c r="A8" s="18"/>
      <c r="B8" s="18"/>
      <c r="C8" s="18"/>
      <c r="D8" s="18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4">
      <c r="A9" s="18"/>
      <c r="B9" s="18"/>
      <c r="C9" s="18"/>
      <c r="D9" s="18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4">
      <c r="A10" s="18"/>
      <c r="B10" s="18"/>
      <c r="C10" s="18"/>
      <c r="D10" s="18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4">
      <c r="A11" s="18"/>
      <c r="B11" s="18"/>
      <c r="C11" s="18"/>
      <c r="D11" s="18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4">
      <c r="A12" s="18"/>
      <c r="B12" s="18"/>
      <c r="C12" s="18"/>
      <c r="D12" s="18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4">
      <c r="A13" s="18"/>
      <c r="B13" s="18"/>
      <c r="C13" s="18"/>
      <c r="D13" s="18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4">
      <c r="A14" s="18"/>
      <c r="B14" s="18"/>
      <c r="C14" s="18"/>
      <c r="D14" s="18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4">
      <c r="A15" s="18"/>
      <c r="B15" s="18"/>
      <c r="C15" s="18"/>
      <c r="D15" s="18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4">
      <c r="A16" s="18"/>
      <c r="B16" s="18"/>
      <c r="C16" s="18"/>
      <c r="D16" s="18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4">
      <c r="A17" s="18"/>
      <c r="B17" s="18"/>
      <c r="C17" s="18"/>
      <c r="D17" s="18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4">
      <c r="A18" s="18"/>
      <c r="B18" s="18"/>
      <c r="C18" s="18"/>
      <c r="D18" s="18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4">
      <c r="A19" s="18"/>
      <c r="B19" s="18"/>
      <c r="C19" s="18"/>
      <c r="D19" s="18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4">
      <c r="A20" s="19" t="s">
        <v>1</v>
      </c>
      <c r="B20" s="14"/>
      <c r="C20" s="14"/>
      <c r="D20" s="14"/>
    </row>
    <row r="21" spans="1:15" x14ac:dyDescent="0.4">
      <c r="A21" s="20" t="s">
        <v>2</v>
      </c>
      <c r="B21" s="28">
        <v>0</v>
      </c>
      <c r="C21" s="20" t="s">
        <v>3</v>
      </c>
      <c r="D21" s="18"/>
    </row>
    <row r="22" spans="1:15" x14ac:dyDescent="0.4">
      <c r="A22" s="20" t="s">
        <v>4</v>
      </c>
      <c r="B22" s="29">
        <v>0</v>
      </c>
      <c r="C22" s="20" t="s">
        <v>5</v>
      </c>
      <c r="D22" s="18"/>
    </row>
    <row r="23" spans="1:15" x14ac:dyDescent="0.4">
      <c r="A23" s="20" t="s">
        <v>6</v>
      </c>
      <c r="B23" s="30">
        <f>MIN(B28/2,500000)</f>
        <v>0</v>
      </c>
      <c r="C23" s="21" t="s">
        <v>7</v>
      </c>
      <c r="D23" s="18"/>
    </row>
    <row r="24" spans="1:15" x14ac:dyDescent="0.4">
      <c r="A24" s="20" t="s">
        <v>8</v>
      </c>
      <c r="B24" s="30">
        <v>0</v>
      </c>
      <c r="C24" s="20" t="s">
        <v>9</v>
      </c>
      <c r="D24" s="18"/>
    </row>
    <row r="25" spans="1:15" x14ac:dyDescent="0.4">
      <c r="A25" s="18"/>
      <c r="B25" s="18"/>
      <c r="C25" s="18"/>
      <c r="D25" s="18"/>
    </row>
    <row r="26" spans="1:15" x14ac:dyDescent="0.4">
      <c r="A26" s="18"/>
      <c r="B26" s="18"/>
      <c r="C26" s="18"/>
      <c r="D26" s="18"/>
    </row>
    <row r="27" spans="1:15" x14ac:dyDescent="0.4">
      <c r="A27" s="19" t="s">
        <v>10</v>
      </c>
      <c r="B27" s="14"/>
      <c r="C27" s="14"/>
      <c r="D27" s="14"/>
    </row>
    <row r="28" spans="1:15" x14ac:dyDescent="0.4">
      <c r="A28" s="20" t="s">
        <v>11</v>
      </c>
      <c r="B28" s="22">
        <f>MAX(0,B21-B22)</f>
        <v>0</v>
      </c>
      <c r="C28" s="20" t="s">
        <v>12</v>
      </c>
      <c r="D28" s="18"/>
    </row>
    <row r="29" spans="1:15" x14ac:dyDescent="0.4">
      <c r="A29" s="20" t="s">
        <v>13</v>
      </c>
      <c r="B29" s="22">
        <f>MAX(0,B28-MIN(B23,B28)-MIN(B24,MAX(0,B28-MIN(B23,B28))))</f>
        <v>0</v>
      </c>
      <c r="C29" s="20" t="s">
        <v>14</v>
      </c>
      <c r="D29" s="18"/>
    </row>
    <row r="30" spans="1:15" x14ac:dyDescent="0.4">
      <c r="A30" s="20" t="s">
        <v>15</v>
      </c>
      <c r="B30" s="22">
        <f>ROUNDDOWN(B29,-3)</f>
        <v>0</v>
      </c>
      <c r="C30" s="20" t="s">
        <v>16</v>
      </c>
      <c r="D30" s="18"/>
    </row>
    <row r="31" spans="1:15" x14ac:dyDescent="0.4">
      <c r="A31" s="20" t="s">
        <v>17</v>
      </c>
      <c r="B31" s="23">
        <f>IF(B30&lt;1000,0,VLOOKUP(B30,税率表!$A$2:$C$8,2,TRUE))</f>
        <v>0</v>
      </c>
      <c r="C31" s="20" t="s">
        <v>18</v>
      </c>
      <c r="D31" s="18"/>
    </row>
    <row r="32" spans="1:15" x14ac:dyDescent="0.4">
      <c r="A32" s="20" t="s">
        <v>19</v>
      </c>
      <c r="B32" s="22">
        <f>IF(B30&lt;1000,0,VLOOKUP(B30,税率表!$A$2:$C$8,3,TRUE))</f>
        <v>0</v>
      </c>
      <c r="C32" s="20" t="s">
        <v>20</v>
      </c>
      <c r="D32" s="18"/>
    </row>
    <row r="33" spans="1:4" x14ac:dyDescent="0.4">
      <c r="A33" s="20" t="s">
        <v>21</v>
      </c>
      <c r="B33" s="22">
        <f>MAX(0,ROUNDDOWN(ROUNDDOWN(B30/5*B31,0)*5-B32,0))</f>
        <v>0</v>
      </c>
      <c r="C33" s="20" t="s">
        <v>82</v>
      </c>
      <c r="D33" s="18"/>
    </row>
    <row r="34" spans="1:4" x14ac:dyDescent="0.4">
      <c r="A34" s="24" t="s">
        <v>23</v>
      </c>
      <c r="B34" s="22">
        <f>ROUNDDOWN(B33,-3)</f>
        <v>0</v>
      </c>
      <c r="C34" s="20" t="s">
        <v>24</v>
      </c>
      <c r="D34" s="18"/>
    </row>
    <row r="35" spans="1:4" x14ac:dyDescent="0.4">
      <c r="A35" s="18"/>
      <c r="B35" s="18"/>
      <c r="C35" s="18"/>
      <c r="D35" s="18"/>
    </row>
    <row r="36" spans="1:4" x14ac:dyDescent="0.4">
      <c r="A36" s="25" t="s">
        <v>25</v>
      </c>
      <c r="B36" s="18"/>
      <c r="C36" s="18"/>
      <c r="D36" s="18"/>
    </row>
    <row r="37" spans="1:4" x14ac:dyDescent="0.4">
      <c r="A37" s="26" t="s">
        <v>26</v>
      </c>
      <c r="B37" s="14"/>
      <c r="C37" s="14"/>
      <c r="D37" s="14"/>
    </row>
    <row r="38" spans="1:4" x14ac:dyDescent="0.4">
      <c r="A38" s="26" t="s">
        <v>27</v>
      </c>
      <c r="B38" s="14"/>
      <c r="C38" s="14"/>
      <c r="D38" s="14"/>
    </row>
    <row r="39" spans="1:4" x14ac:dyDescent="0.4">
      <c r="A39" s="26" t="s">
        <v>28</v>
      </c>
      <c r="B39" s="14"/>
      <c r="C39" s="14"/>
      <c r="D39" s="14"/>
    </row>
    <row r="40" spans="1:4" x14ac:dyDescent="0.4">
      <c r="A40" s="26" t="s">
        <v>29</v>
      </c>
      <c r="B40" s="14"/>
      <c r="C40" s="14"/>
      <c r="D40" s="14"/>
    </row>
    <row r="41" spans="1:4" x14ac:dyDescent="0.4">
      <c r="A41" s="16" t="s">
        <v>81</v>
      </c>
    </row>
    <row r="42" spans="1:4" x14ac:dyDescent="0.4">
      <c r="A42" s="26" t="s">
        <v>30</v>
      </c>
      <c r="B42" s="14"/>
      <c r="C42" s="14"/>
      <c r="D42" s="14"/>
    </row>
    <row r="44" spans="1:4" x14ac:dyDescent="0.4">
      <c r="A44" s="16" t="s">
        <v>34</v>
      </c>
    </row>
    <row r="45" spans="1:4" x14ac:dyDescent="0.4">
      <c r="A45" s="16" t="s">
        <v>33</v>
      </c>
    </row>
    <row r="46" spans="1:4" x14ac:dyDescent="0.4">
      <c r="A46" s="27" t="s">
        <v>35</v>
      </c>
    </row>
  </sheetData>
  <sheetProtection algorithmName="SHA-512" hashValue="/Tr4sASyJvCqOKSzvRjQFpiOw8LJrzey1c5WE+5BMdzLDh1zJUSWft+Mhzk4x7N7VXhM8GkbLxjOYa0BYhYkEA==" saltValue="4Q4tgqj7K40fWoacJRK1pA==" spinCount="100000" sheet="1" objects="1" scenarios="1"/>
  <mergeCells count="8">
    <mergeCell ref="A42:D42"/>
    <mergeCell ref="A1:D1"/>
    <mergeCell ref="A40:D40"/>
    <mergeCell ref="A39:D39"/>
    <mergeCell ref="A37:D37"/>
    <mergeCell ref="A38:D38"/>
    <mergeCell ref="A20:D20"/>
    <mergeCell ref="A27:D27"/>
  </mergeCells>
  <phoneticPr fontId="7"/>
  <dataValidations count="1">
    <dataValidation type="decimal" operator="greaterThanOrEqual" errorTitle="入力エラー" error="0以上の数値を入力してください。" sqref="B21:B22 B24" xr:uid="{00000000-0002-0000-0000-000000000000}">
      <formula1>0</formula1>
    </dataValidation>
  </dataValidations>
  <hyperlinks>
    <hyperlink ref="A46" r:id="rId1" xr:uid="{14228587-1E19-4A30-9128-1440925B4031}"/>
  </hyperlinks>
  <pageMargins left="0.75" right="0.75" top="1" bottom="1" header="0.5" footer="0.5"/>
  <pageSetup paperSize="9" scale="52" orientation="landscape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3" topLeftCell="A4" activePane="bottomLeft" state="frozen"/>
      <selection pane="bottomLeft"/>
    </sheetView>
  </sheetViews>
  <sheetFormatPr defaultRowHeight="18.75" x14ac:dyDescent="0.4"/>
  <cols>
    <col min="1" max="1" width="34" customWidth="1"/>
    <col min="2" max="2" width="20" customWidth="1"/>
    <col min="3" max="3" width="52" customWidth="1"/>
    <col min="4" max="4" width="18" customWidth="1"/>
  </cols>
  <sheetData>
    <row r="1" spans="1:4" x14ac:dyDescent="0.4">
      <c r="A1" s="2" t="s">
        <v>15</v>
      </c>
      <c r="B1" s="2" t="s">
        <v>31</v>
      </c>
      <c r="C1" s="2" t="s">
        <v>19</v>
      </c>
      <c r="D1" s="2" t="s">
        <v>32</v>
      </c>
    </row>
    <row r="2" spans="1:4" x14ac:dyDescent="0.4">
      <c r="A2" s="1">
        <v>1000</v>
      </c>
      <c r="B2" s="3">
        <v>0.05</v>
      </c>
      <c r="C2" s="4">
        <v>0</v>
      </c>
      <c r="D2" s="1" t="s">
        <v>22</v>
      </c>
    </row>
    <row r="3" spans="1:4" x14ac:dyDescent="0.4">
      <c r="A3" s="1">
        <v>9750000</v>
      </c>
      <c r="B3" s="3">
        <v>0.1</v>
      </c>
      <c r="C3" s="4">
        <v>487500</v>
      </c>
      <c r="D3" s="1" t="s">
        <v>22</v>
      </c>
    </row>
    <row r="4" spans="1:4" x14ac:dyDescent="0.4">
      <c r="A4" s="1">
        <v>16500000</v>
      </c>
      <c r="B4" s="3">
        <v>0.2</v>
      </c>
      <c r="C4" s="4">
        <v>2137500</v>
      </c>
      <c r="D4" s="1" t="s">
        <v>22</v>
      </c>
    </row>
    <row r="5" spans="1:4" x14ac:dyDescent="0.4">
      <c r="A5" s="1">
        <v>34750000</v>
      </c>
      <c r="B5" s="3">
        <v>0.23</v>
      </c>
      <c r="C5" s="4">
        <v>3180000</v>
      </c>
      <c r="D5" s="1" t="s">
        <v>22</v>
      </c>
    </row>
    <row r="6" spans="1:4" x14ac:dyDescent="0.4">
      <c r="A6" s="1">
        <v>45000000</v>
      </c>
      <c r="B6" s="3">
        <v>0.33</v>
      </c>
      <c r="C6" s="4">
        <v>7680000</v>
      </c>
      <c r="D6" s="1" t="s">
        <v>22</v>
      </c>
    </row>
    <row r="7" spans="1:4" x14ac:dyDescent="0.4">
      <c r="A7" s="1">
        <v>90000000</v>
      </c>
      <c r="B7" s="3">
        <v>0.4</v>
      </c>
      <c r="C7" s="4">
        <v>13980000</v>
      </c>
      <c r="D7" s="1" t="s">
        <v>22</v>
      </c>
    </row>
    <row r="8" spans="1:4" x14ac:dyDescent="0.4">
      <c r="A8" s="1">
        <v>200000000</v>
      </c>
      <c r="B8" s="3">
        <v>0.45</v>
      </c>
      <c r="C8" s="4">
        <v>23980000</v>
      </c>
      <c r="D8" s="1" t="s">
        <v>22</v>
      </c>
    </row>
  </sheetData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E9B9-B3C5-4119-AE7F-DA08DEB98E84}">
  <dimension ref="A1:F21"/>
  <sheetViews>
    <sheetView showGridLines="0" workbookViewId="0">
      <pane ySplit="6" topLeftCell="A7" activePane="bottomLeft" state="frozen"/>
      <selection pane="bottomLeft" sqref="A1:F1"/>
    </sheetView>
  </sheetViews>
  <sheetFormatPr defaultRowHeight="18.75" x14ac:dyDescent="0.4"/>
  <cols>
    <col min="1" max="1" width="28" customWidth="1"/>
    <col min="2" max="2" width="25" customWidth="1"/>
    <col min="3" max="3" width="42" customWidth="1"/>
    <col min="4" max="4" width="48" customWidth="1"/>
    <col min="5" max="5" width="42" customWidth="1"/>
    <col min="6" max="6" width="45" customWidth="1"/>
  </cols>
  <sheetData>
    <row r="1" spans="1:6" ht="21.75" x14ac:dyDescent="0.4">
      <c r="A1" s="9" t="s">
        <v>37</v>
      </c>
      <c r="B1" s="7"/>
      <c r="C1" s="7"/>
      <c r="D1" s="7"/>
      <c r="E1" s="7"/>
      <c r="F1" s="7"/>
    </row>
    <row r="3" spans="1:6" x14ac:dyDescent="0.4">
      <c r="A3" s="10" t="s">
        <v>38</v>
      </c>
      <c r="B3" s="7"/>
      <c r="C3" s="7"/>
      <c r="D3" s="7"/>
      <c r="E3" s="7"/>
      <c r="F3" s="7"/>
    </row>
    <row r="4" spans="1:6" x14ac:dyDescent="0.4">
      <c r="A4" s="11" t="s">
        <v>39</v>
      </c>
      <c r="B4" s="7"/>
      <c r="C4" s="7"/>
      <c r="D4" s="7"/>
      <c r="E4" s="7"/>
      <c r="F4" s="7"/>
    </row>
    <row r="6" spans="1:6" x14ac:dyDescent="0.4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</row>
    <row r="7" spans="1:6" ht="78" customHeight="1" x14ac:dyDescent="0.4">
      <c r="A7" s="6" t="s">
        <v>46</v>
      </c>
      <c r="B7" s="6" t="s">
        <v>47</v>
      </c>
      <c r="C7" s="6" t="s">
        <v>48</v>
      </c>
      <c r="D7" s="6" t="s">
        <v>49</v>
      </c>
      <c r="E7" s="6" t="s">
        <v>50</v>
      </c>
      <c r="F7" s="6" t="s">
        <v>51</v>
      </c>
    </row>
    <row r="8" spans="1:6" ht="78" customHeight="1" x14ac:dyDescent="0.4">
      <c r="A8" s="6" t="s">
        <v>52</v>
      </c>
      <c r="B8" s="6" t="s">
        <v>53</v>
      </c>
      <c r="C8" s="6" t="s">
        <v>54</v>
      </c>
      <c r="D8" s="6" t="s">
        <v>55</v>
      </c>
      <c r="E8" s="6" t="s">
        <v>56</v>
      </c>
      <c r="F8" s="6" t="s">
        <v>57</v>
      </c>
    </row>
    <row r="9" spans="1:6" ht="78" customHeight="1" x14ac:dyDescent="0.4">
      <c r="A9" s="6" t="s">
        <v>58</v>
      </c>
      <c r="B9" s="6" t="s">
        <v>59</v>
      </c>
      <c r="C9" s="6" t="s">
        <v>60</v>
      </c>
      <c r="D9" s="6" t="s">
        <v>61</v>
      </c>
      <c r="E9" s="6" t="s">
        <v>62</v>
      </c>
      <c r="F9" s="6" t="s">
        <v>63</v>
      </c>
    </row>
    <row r="10" spans="1:6" ht="78" customHeight="1" x14ac:dyDescent="0.4">
      <c r="A10" s="6" t="s">
        <v>64</v>
      </c>
      <c r="B10" s="6" t="s">
        <v>65</v>
      </c>
      <c r="C10" s="6" t="s">
        <v>66</v>
      </c>
      <c r="D10" s="6" t="s">
        <v>67</v>
      </c>
      <c r="E10" s="6" t="s">
        <v>68</v>
      </c>
      <c r="F10" s="6" t="s">
        <v>69</v>
      </c>
    </row>
    <row r="13" spans="1:6" x14ac:dyDescent="0.4">
      <c r="A13" s="10" t="s">
        <v>70</v>
      </c>
      <c r="B13" s="7"/>
      <c r="C13" s="7"/>
      <c r="D13" s="7"/>
      <c r="E13" s="7"/>
      <c r="F13" s="7"/>
    </row>
    <row r="14" spans="1:6" x14ac:dyDescent="0.4">
      <c r="A14" s="8" t="s">
        <v>71</v>
      </c>
      <c r="B14" s="7"/>
      <c r="C14" s="7"/>
      <c r="D14" s="7"/>
      <c r="E14" s="7"/>
      <c r="F14" s="7"/>
    </row>
    <row r="15" spans="1:6" x14ac:dyDescent="0.4">
      <c r="A15" s="8" t="s">
        <v>72</v>
      </c>
      <c r="B15" s="7"/>
      <c r="C15" s="7"/>
      <c r="D15" s="7"/>
      <c r="E15" s="7"/>
      <c r="F15" s="7"/>
    </row>
    <row r="16" spans="1:6" x14ac:dyDescent="0.4">
      <c r="A16" s="8" t="s">
        <v>73</v>
      </c>
      <c r="B16" s="7"/>
      <c r="C16" s="7"/>
      <c r="D16" s="7"/>
      <c r="E16" s="7"/>
      <c r="F16" s="7"/>
    </row>
    <row r="18" spans="1:6" x14ac:dyDescent="0.4">
      <c r="A18" s="10" t="s">
        <v>74</v>
      </c>
      <c r="B18" s="7"/>
      <c r="C18" s="7"/>
      <c r="D18" s="7"/>
      <c r="E18" s="7"/>
      <c r="F18" s="7"/>
    </row>
    <row r="19" spans="1:6" ht="37.5" x14ac:dyDescent="0.4">
      <c r="A19" s="6" t="s">
        <v>75</v>
      </c>
      <c r="B19" s="12" t="s">
        <v>76</v>
      </c>
      <c r="C19" s="7"/>
      <c r="D19" s="7"/>
      <c r="E19" s="7"/>
      <c r="F19" s="7"/>
    </row>
    <row r="20" spans="1:6" ht="37.5" x14ac:dyDescent="0.4">
      <c r="A20" s="6" t="s">
        <v>77</v>
      </c>
      <c r="B20" s="12" t="s">
        <v>78</v>
      </c>
      <c r="C20" s="7"/>
      <c r="D20" s="7"/>
      <c r="E20" s="7"/>
      <c r="F20" s="7"/>
    </row>
    <row r="21" spans="1:6" x14ac:dyDescent="0.4">
      <c r="A21" s="6" t="s">
        <v>79</v>
      </c>
      <c r="B21" s="12" t="s">
        <v>80</v>
      </c>
      <c r="C21" s="7"/>
      <c r="D21" s="7"/>
      <c r="E21" s="7"/>
      <c r="F21" s="7"/>
    </row>
  </sheetData>
  <mergeCells count="11">
    <mergeCell ref="A16:F16"/>
    <mergeCell ref="A18:F18"/>
    <mergeCell ref="B19:F19"/>
    <mergeCell ref="B20:F20"/>
    <mergeCell ref="B21:F21"/>
    <mergeCell ref="A15:F15"/>
    <mergeCell ref="A1:F1"/>
    <mergeCell ref="A3:F3"/>
    <mergeCell ref="A4:F4"/>
    <mergeCell ref="A13:F13"/>
    <mergeCell ref="A14:F14"/>
  </mergeCells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山林所得計算</vt:lpstr>
      <vt:lpstr>税率表</vt:lpstr>
      <vt:lpstr>特例・参考情報</vt:lpstr>
      <vt:lpstr>山林所得計算!Print_Area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克彦 福田</cp:lastModifiedBy>
  <dcterms:created xsi:type="dcterms:W3CDTF">2026-09-21T08:32:12Z</dcterms:created>
  <dcterms:modified xsi:type="dcterms:W3CDTF">2026-09-26T03:31:36Z</dcterms:modified>
</cp:coreProperties>
</file>